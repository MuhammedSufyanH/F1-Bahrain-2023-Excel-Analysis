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HI\Documents\"/>
    </mc:Choice>
  </mc:AlternateContent>
  <xr:revisionPtr revIDLastSave="0" documentId="13_ncr:1_{070ACB63-8870-4151-B9D1-A4653B2CB4F7}" xr6:coauthVersionLast="47" xr6:coauthVersionMax="47" xr10:uidLastSave="{00000000-0000-0000-0000-000000000000}"/>
  <bookViews>
    <workbookView xWindow="-108" yWindow="-108" windowWidth="23256" windowHeight="12456" tabRatio="568" activeTab="3" xr2:uid="{379CFF24-E574-45CB-84BD-DA62DC95ACCC}"/>
  </bookViews>
  <sheets>
    <sheet name="RaceData" sheetId="2" r:id="rId1"/>
    <sheet name="Analysis" sheetId="1" r:id="rId2"/>
    <sheet name="Dashboard" sheetId="4" r:id="rId3"/>
    <sheet name="Helper" sheetId="6" r:id="rId4"/>
  </sheets>
  <definedNames>
    <definedName name="ExternalData_1" localSheetId="0" hidden="1">'RaceData'!$A$1:$N$286</definedName>
    <definedName name="Slicer_Driver_Code">#N/A</definedName>
    <definedName name="Slicer_Tyre_Compoun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5" i="2" l="1"/>
  <c r="R6" i="2" s="1"/>
  <c r="R7" i="2" s="1"/>
  <c r="R8" i="2" s="1"/>
  <c r="R9" i="2" s="1"/>
  <c r="R10" i="2" s="1"/>
  <c r="R11" i="2" s="1"/>
  <c r="R12" i="2" s="1"/>
  <c r="R13" i="2" s="1"/>
  <c r="R14" i="2" s="1"/>
  <c r="R15" i="2" s="1"/>
  <c r="R16" i="2" s="1"/>
  <c r="R17" i="2" s="1"/>
  <c r="R18" i="2" s="1"/>
  <c r="R19" i="2" s="1"/>
  <c r="R20" i="2" s="1"/>
  <c r="R21" i="2" s="1"/>
  <c r="R22" i="2" s="1"/>
  <c r="R23" i="2" s="1"/>
  <c r="R24" i="2" s="1"/>
  <c r="R25" i="2" s="1"/>
  <c r="R26" i="2" s="1"/>
  <c r="R27" i="2" s="1"/>
  <c r="R28" i="2" s="1"/>
  <c r="R29" i="2" s="1"/>
  <c r="R30" i="2" s="1"/>
  <c r="R31" i="2" s="1"/>
  <c r="R32" i="2" s="1"/>
  <c r="R33" i="2" s="1"/>
  <c r="R34" i="2" s="1"/>
  <c r="R35" i="2" s="1"/>
  <c r="R36" i="2" s="1"/>
  <c r="R37" i="2" s="1"/>
  <c r="R38" i="2" s="1"/>
  <c r="R39" i="2" s="1"/>
  <c r="R40" i="2" s="1"/>
  <c r="R41" i="2" s="1"/>
  <c r="R42" i="2" s="1"/>
  <c r="R43" i="2" s="1"/>
  <c r="R44" i="2" s="1"/>
  <c r="R45" i="2" s="1"/>
  <c r="R46" i="2" s="1"/>
  <c r="R47" i="2" s="1"/>
  <c r="R48" i="2" s="1"/>
  <c r="R49" i="2" s="1"/>
  <c r="R50" i="2" s="1"/>
  <c r="R51" i="2" s="1"/>
  <c r="R52" i="2" s="1"/>
  <c r="R53" i="2" s="1"/>
  <c r="R54" i="2" s="1"/>
  <c r="R55" i="2" s="1"/>
  <c r="R56" i="2" s="1"/>
  <c r="R57" i="2" s="1"/>
  <c r="R58" i="2" s="1"/>
  <c r="D102" i="1"/>
  <c r="D103" i="1"/>
  <c r="B103" i="1"/>
  <c r="C103" i="1"/>
  <c r="C102" i="1"/>
  <c r="B102" i="1"/>
  <c r="D101" i="1"/>
  <c r="C101" i="1"/>
  <c r="B101" i="1"/>
  <c r="D94" i="1"/>
  <c r="D95" i="1"/>
  <c r="D96" i="1"/>
  <c r="D97" i="1"/>
  <c r="C94" i="1"/>
  <c r="C95" i="1"/>
  <c r="C96" i="1"/>
  <c r="C97" i="1"/>
  <c r="B94" i="1"/>
  <c r="B95" i="1"/>
  <c r="B96" i="1"/>
  <c r="B97" i="1"/>
  <c r="D93" i="1"/>
  <c r="C93" i="1"/>
  <c r="B93" i="1"/>
  <c r="D81" i="1"/>
  <c r="D82" i="1"/>
  <c r="D83" i="1"/>
  <c r="D84" i="1"/>
  <c r="D85" i="1"/>
  <c r="D86" i="1"/>
  <c r="D87" i="1"/>
  <c r="D88" i="1"/>
  <c r="D89" i="1"/>
  <c r="C81" i="1"/>
  <c r="C82" i="1"/>
  <c r="C83" i="1"/>
  <c r="C84" i="1"/>
  <c r="C85" i="1"/>
  <c r="C86" i="1"/>
  <c r="C87" i="1"/>
  <c r="C88" i="1"/>
  <c r="C89" i="1"/>
  <c r="D80" i="1"/>
  <c r="C80" i="1"/>
  <c r="B75" i="1"/>
  <c r="B77" i="1" s="1"/>
  <c r="B70" i="1"/>
  <c r="B71" i="1"/>
  <c r="B72" i="1"/>
  <c r="B73" i="1"/>
  <c r="B69" i="1"/>
  <c r="C2" i="6"/>
  <c r="O54" i="6"/>
  <c r="O25" i="6"/>
  <c r="L54" i="6"/>
  <c r="L25" i="6"/>
  <c r="I54" i="6"/>
  <c r="I25" i="6"/>
  <c r="F54" i="6"/>
  <c r="F2" i="6"/>
  <c r="C54" i="6"/>
  <c r="L2" i="6"/>
  <c r="I2" i="6"/>
  <c r="F25" i="6"/>
  <c r="C25" i="6"/>
  <c r="B32" i="1"/>
  <c r="B33" i="1"/>
  <c r="B34" i="1"/>
  <c r="B35" i="1"/>
  <c r="D32" i="1"/>
  <c r="D33" i="1"/>
  <c r="D34" i="1"/>
  <c r="D35" i="1"/>
  <c r="C32" i="1"/>
  <c r="C33" i="1"/>
  <c r="C34" i="1"/>
  <c r="C35" i="1"/>
  <c r="D31" i="1"/>
  <c r="C31" i="1"/>
  <c r="B31" i="1"/>
  <c r="B19" i="1"/>
  <c r="E7" i="4" s="1"/>
  <c r="B20" i="1"/>
  <c r="E8" i="4" s="1"/>
  <c r="B21" i="1"/>
  <c r="E9" i="4" s="1"/>
  <c r="B22" i="1"/>
  <c r="E10" i="4" s="1"/>
  <c r="B18" i="1"/>
  <c r="E6" i="4" s="1"/>
  <c r="B24" i="1"/>
  <c r="B26" i="1" s="1"/>
  <c r="C19" i="1"/>
  <c r="D19" i="1" s="1" a="1"/>
  <c r="D19" i="1" s="1"/>
  <c r="C20" i="1"/>
  <c r="D20" i="1" s="1" a="1"/>
  <c r="D20" i="1" s="1"/>
  <c r="C21" i="1"/>
  <c r="D21" i="1" s="1" a="1"/>
  <c r="D21" i="1" s="1"/>
  <c r="C22" i="1"/>
  <c r="D22" i="1" s="1" a="1"/>
  <c r="D22" i="1" s="1"/>
  <c r="C18" i="1"/>
  <c r="D18" i="1" s="1" a="1"/>
  <c r="D18" i="1" s="1"/>
  <c r="F19" i="1" a="1"/>
  <c r="F19" i="1" s="1"/>
  <c r="F7" i="4" s="1"/>
  <c r="F20" i="1" a="1"/>
  <c r="F20" i="1" s="1"/>
  <c r="F8" i="4" s="1"/>
  <c r="F21" i="1" a="1"/>
  <c r="F21" i="1" s="1"/>
  <c r="F9" i="4" s="1"/>
  <c r="F22" i="1" a="1"/>
  <c r="F22" i="1" s="1"/>
  <c r="F10" i="4" s="1"/>
  <c r="F18" i="1" a="1"/>
  <c r="F18" i="1" s="1"/>
  <c r="F6" i="4" s="1"/>
  <c r="E19" i="1"/>
  <c r="E20" i="1"/>
  <c r="E21" i="1"/>
  <c r="E22" i="1"/>
  <c r="E18" i="1"/>
  <c r="B12" i="1"/>
  <c r="H7" i="4" s="1"/>
  <c r="B13" i="1"/>
  <c r="H8" i="4" s="1"/>
  <c r="B14" i="1"/>
  <c r="H9" i="4" s="1"/>
  <c r="B15" i="1"/>
  <c r="H10" i="4" s="1"/>
  <c r="B11" i="1"/>
  <c r="H6" i="4" s="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B5" i="1"/>
  <c r="B6" i="1"/>
  <c r="B7" i="1"/>
  <c r="B8" i="1"/>
  <c r="B4" i="1"/>
  <c r="B1" i="1"/>
  <c r="E96" i="1" l="1"/>
  <c r="E97" i="1"/>
  <c r="E95" i="1"/>
  <c r="D10" i="4"/>
  <c r="B76" i="1"/>
  <c r="E85" i="1"/>
  <c r="F85" i="1" s="1"/>
  <c r="D6" i="4"/>
  <c r="E94" i="1"/>
  <c r="D7" i="4"/>
  <c r="D8" i="4"/>
  <c r="E88" i="1"/>
  <c r="F88" i="1" s="1"/>
  <c r="E93" i="1"/>
  <c r="D9" i="4"/>
  <c r="E84" i="1"/>
  <c r="F84" i="1" s="1"/>
  <c r="E80" i="1"/>
  <c r="F80" i="1" s="1"/>
  <c r="E83" i="1"/>
  <c r="F83" i="1" s="1"/>
  <c r="F93" i="1"/>
  <c r="E82" i="1"/>
  <c r="F82" i="1" s="1"/>
  <c r="F94" i="1"/>
  <c r="E89" i="1"/>
  <c r="F89" i="1" s="1"/>
  <c r="E81" i="1"/>
  <c r="F81" i="1" s="1"/>
  <c r="F95" i="1"/>
  <c r="F96" i="1"/>
  <c r="G96" i="1" s="1"/>
  <c r="E87" i="1"/>
  <c r="F87" i="1" s="1"/>
  <c r="F97" i="1"/>
  <c r="E86" i="1"/>
  <c r="F86" i="1" s="1"/>
  <c r="B25" i="1"/>
  <c r="G22" i="1"/>
  <c r="G21" i="1"/>
  <c r="G19" i="1"/>
  <c r="G20" i="1"/>
  <c r="G18" i="1"/>
  <c r="G97" i="1" l="1"/>
  <c r="G95" i="1"/>
  <c r="G94" i="1"/>
  <c r="G9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EECEDF-4762-45C2-B34B-39B06AFDA35C}" keepAlive="1" name="Query - DOC-20260430-WA0018" description="Connection to the 'DOC-20260430-WA0018' query in the workbook." type="5" refreshedVersion="8" background="1" saveData="1">
    <dbPr connection="Provider=Microsoft.Mashup.OleDb.1;Data Source=$Workbook$;Location=DOC-20260430-WA0018;Extended Properties=&quot;&quot;" command="SELECT * FROM [DOC-20260430-WA0018]"/>
  </connection>
  <connection id="2" xr16:uid="{AB6E40CE-5A35-4320-9CA3-8A88B6EB0762}" keepAlive="1" name="Query - DOC-20260430-WA0018 (2)" description="Connection to the 'DOC-20260430-WA0018 (2)' query in the workbook." type="5" refreshedVersion="0" background="1">
    <dbPr connection="Provider=Microsoft.Mashup.OleDb.1;Data Source=$Workbook$;Location=&quot;DOC-20260430-WA0018 (2)&quot;;Extended Properties=&quot;&quot;" command="SELECT * FROM [DOC-20260430-WA0018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<sst xmlns="http://schemas.openxmlformats.org/spreadsheetml/2006/main" count="1691" uniqueCount="97">
  <si>
    <t>Driver_Code</t>
  </si>
  <si>
    <t>Driver_Name</t>
  </si>
  <si>
    <t>Team</t>
  </si>
  <si>
    <t>Car_Number</t>
  </si>
  <si>
    <t>Lap</t>
  </si>
  <si>
    <t>Tyre_Compound</t>
  </si>
  <si>
    <t>Lap_On_Tyre</t>
  </si>
  <si>
    <t>Lap_Time_s</t>
  </si>
  <si>
    <t>S1_Time_s</t>
  </si>
  <si>
    <t>S2_Time_s</t>
  </si>
  <si>
    <t>S3_Time_s</t>
  </si>
  <si>
    <t>Is_Pit_Lap</t>
  </si>
  <si>
    <t>Pit_Stop_Duration_s</t>
  </si>
  <si>
    <t>Gap_To_Leader_s</t>
  </si>
  <si>
    <t>VER</t>
  </si>
  <si>
    <t>Max Verstappen</t>
  </si>
  <si>
    <t>Red Bull</t>
  </si>
  <si>
    <t>Soft</t>
  </si>
  <si>
    <t>NO</t>
  </si>
  <si>
    <t>HAM</t>
  </si>
  <si>
    <t>Lewis Hamilton</t>
  </si>
  <si>
    <t>Mercedes</t>
  </si>
  <si>
    <t>Medium</t>
  </si>
  <si>
    <t>ALO</t>
  </si>
  <si>
    <t>Fernando Alonso</t>
  </si>
  <si>
    <t>Aston Martin</t>
  </si>
  <si>
    <t>LEC</t>
  </si>
  <si>
    <t>Charles Leclerc</t>
  </si>
  <si>
    <t>Ferrari</t>
  </si>
  <si>
    <t>NOR</t>
  </si>
  <si>
    <t>Lando Norris</t>
  </si>
  <si>
    <t>McLaren</t>
  </si>
  <si>
    <t>YES</t>
  </si>
  <si>
    <t>Hard</t>
  </si>
  <si>
    <t>Row Count Check</t>
  </si>
  <si>
    <t>Driver</t>
  </si>
  <si>
    <t xml:space="preserve">Laps Completed </t>
  </si>
  <si>
    <t>Sector_Check</t>
  </si>
  <si>
    <t>Fastest Pit Stop (S)</t>
  </si>
  <si>
    <t>Avg Lap Time (S)</t>
  </si>
  <si>
    <t>Fastest Lap (S)</t>
  </si>
  <si>
    <t>Fastest Lap No.</t>
  </si>
  <si>
    <t>Slowest Clean Lap (S)</t>
  </si>
  <si>
    <t>Std Dev</t>
  </si>
  <si>
    <t>Rank</t>
  </si>
  <si>
    <t>Fastest Lap of Race</t>
  </si>
  <si>
    <t>Set By</t>
  </si>
  <si>
    <t>On Lap</t>
  </si>
  <si>
    <t>Soft Avg (S)</t>
  </si>
  <si>
    <t>Medium Avg (S)</t>
  </si>
  <si>
    <t>Hard Avg (s)</t>
  </si>
  <si>
    <t>Soft Deg (S/lap)</t>
  </si>
  <si>
    <t>Medium Deg (S/lap)</t>
  </si>
  <si>
    <t>Hard Deg (S/lap)</t>
  </si>
  <si>
    <t>HARD TYRES</t>
  </si>
  <si>
    <t>SOFT TYRES</t>
  </si>
  <si>
    <t>MEDIUM TYRES</t>
  </si>
  <si>
    <t>-</t>
  </si>
  <si>
    <t>Pit Lap</t>
  </si>
  <si>
    <t>Pit Duration (S)</t>
  </si>
  <si>
    <t>Compound Before</t>
  </si>
  <si>
    <t>Compound After</t>
  </si>
  <si>
    <t>Total Pit Time (S)</t>
  </si>
  <si>
    <t xml:space="preserve">Fastest Pit Stop </t>
  </si>
  <si>
    <t>Avg 3 Laps Before</t>
  </si>
  <si>
    <t>Avg 3 Laps After</t>
  </si>
  <si>
    <t>Delta</t>
  </si>
  <si>
    <t>Undercut Worked</t>
  </si>
  <si>
    <t>Best S1 (S)</t>
  </si>
  <si>
    <t>Best S2 (S)</t>
  </si>
  <si>
    <t>Best S3 (S)</t>
  </si>
  <si>
    <t>Theoretical Best Lap (s)</t>
  </si>
  <si>
    <t>Actual Fastest Lap (s)</t>
  </si>
  <si>
    <t>Gap to Perfect Lap (s)</t>
  </si>
  <si>
    <t>Compound</t>
  </si>
  <si>
    <t>Avg S1 (S)</t>
  </si>
  <si>
    <t>Avg S2 (S)</t>
  </si>
  <si>
    <t>Avg S3 (S)</t>
  </si>
  <si>
    <t xml:space="preserve">Soft </t>
  </si>
  <si>
    <t>Row Labels</t>
  </si>
  <si>
    <t>Grand Total</t>
  </si>
  <si>
    <t>Column Labels</t>
  </si>
  <si>
    <t>Average of Lap_Time_s</t>
  </si>
  <si>
    <t>Count of Lap</t>
  </si>
  <si>
    <t>1-19</t>
  </si>
  <si>
    <t>20-38</t>
  </si>
  <si>
    <t>39-57</t>
  </si>
  <si>
    <r>
      <rPr>
        <sz val="18"/>
        <color theme="0"/>
        <rFont val="Calibri"/>
        <family val="2"/>
        <scheme val="minor"/>
      </rPr>
      <t>2023 BAHRAIN GRAND PRIX - RACE ANALYSIS DASHBOARD</t>
    </r>
    <r>
      <rPr>
        <sz val="11"/>
        <color theme="1"/>
        <rFont val="Calibri"/>
        <family val="2"/>
        <scheme val="minor"/>
      </rPr>
      <t xml:space="preserve"> </t>
    </r>
  </si>
  <si>
    <t>Sakhir Circuit, Bahrain | 57 Laps | 5 Drivers Analysed</t>
  </si>
  <si>
    <t>Avg Pace  (s)</t>
  </si>
  <si>
    <t xml:space="preserve">Pit Stops </t>
  </si>
  <si>
    <t>Fastest Pit (s)</t>
  </si>
  <si>
    <t>Tyre Strategy</t>
  </si>
  <si>
    <t>Soft -&gt; Medium -&gt; Hard</t>
  </si>
  <si>
    <t>Medium -&gt; Soft -&gt; Hard</t>
  </si>
  <si>
    <t>Soft -&gt; Hard -&gt; Medium</t>
  </si>
  <si>
    <t xml:space="preserve"> Medium -&gt; Hard -&gt; 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</si>
</sst>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theme="0"/>
      <name val="Calibri"/>
      <family val="2"/>
      <scheme val="minor"/>
    </font>
    <font>
      <sz val="18"/>
      <color theme="0"/>
      <name val="Calibri"/>
      <family val="2"/>
      <scheme val="minor"/>
    </font>
    <font>
      <sz val="8"/>
      <name val="Calibri"/>
      <family val="2"/>
      <scheme val="minor"/>
    </font>
    <font>
      <i/>
      <sz val="18"/>
      <color theme="0"/>
      <name val="Calibri"/>
      <family val="2"/>
      <scheme val="minor"/>
    </font>
  </fonts>
  <fills count="7">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
      <patternFill patternType="solid">
        <fgColor rgb="FF002060"/>
        <bgColor indexed="64"/>
      </patternFill>
    </fill>
    <fill>
      <patternFill patternType="solid">
        <fgColor theme="0"/>
        <bgColor indexed="64"/>
      </patternFill>
    </fill>
    <fill>
      <patternFill patternType="solid">
        <fgColor rgb="FF00B0F0"/>
        <bgColor indexed="64"/>
      </patternFill>
    </fill>
  </fills>
  <borders count="4">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164" fontId="0" fillId="0" borderId="0" xfId="0" applyNumberFormat="1"/>
    <xf numFmtId="0" fontId="0" fillId="2" borderId="1" xfId="0" applyFill="1" applyBorder="1"/>
    <xf numFmtId="0" fontId="0" fillId="0" borderId="1" xfId="0" applyBorder="1"/>
    <xf numFmtId="0" fontId="1" fillId="3" borderId="1" xfId="0" applyFont="1" applyFill="1" applyBorder="1"/>
    <xf numFmtId="0" fontId="0" fillId="2" borderId="2" xfId="0" applyFill="1" applyBorder="1"/>
    <xf numFmtId="0" fontId="0" fillId="0" borderId="2" xfId="0" applyBorder="1"/>
    <xf numFmtId="0" fontId="0" fillId="0" borderId="0" xfId="0" pivotButton="1"/>
    <xf numFmtId="0" fontId="0" fillId="0" borderId="0" xfId="0" applyAlignment="1">
      <alignment horizontal="left"/>
    </xf>
    <xf numFmtId="0" fontId="0" fillId="5" borderId="0" xfId="0" applyFill="1"/>
    <xf numFmtId="0" fontId="0" fillId="5" borderId="3" xfId="0" applyFill="1" applyBorder="1"/>
    <xf numFmtId="0" fontId="0" fillId="0" borderId="3" xfId="0" applyBorder="1"/>
    <xf numFmtId="0" fontId="1" fillId="4" borderId="3" xfId="0" applyFont="1" applyFill="1" applyBorder="1"/>
    <xf numFmtId="0" fontId="0" fillId="6" borderId="3" xfId="0" applyFill="1" applyBorder="1"/>
    <xf numFmtId="0" fontId="0" fillId="4" borderId="0" xfId="0" applyFill="1"/>
    <xf numFmtId="0" fontId="4" fillId="4" borderId="0" xfId="0" applyFont="1" applyFill="1"/>
  </cellXfs>
  <cellStyles count="1">
    <cellStyle name="Normal" xfId="0" builtinId="0"/>
  </cellStyles>
  <dxfs count="8">
    <dxf>
      <font>
        <color rgb="FF9C0006"/>
      </font>
      <fill>
        <patternFill>
          <bgColor rgb="FFFFC7CE"/>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VER</a:t>
            </a:r>
            <a:r>
              <a:rPr lang="en-US" baseline="0"/>
              <a:t> Medium Tyre Degradation - Bahrain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Helper!$B$54</c:f>
              <c:strCache>
                <c:ptCount val="1"/>
                <c:pt idx="0">
                  <c:v>Lap_Time_s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Helper!$A$55:$A$75</c:f>
              <c:numCache>
                <c:formatCode>General</c:formatCod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numCache>
            </c:numRef>
          </c:xVal>
          <c:yVal>
            <c:numRef>
              <c:f>Helper!$B$55:$B$75</c:f>
              <c:numCache>
                <c:formatCode>General</c:formatCode>
                <c:ptCount val="21"/>
                <c:pt idx="0">
                  <c:v>93.826999999999998</c:v>
                </c:pt>
                <c:pt idx="1">
                  <c:v>94.284000000000006</c:v>
                </c:pt>
                <c:pt idx="2">
                  <c:v>93.98</c:v>
                </c:pt>
                <c:pt idx="3">
                  <c:v>93.962000000000003</c:v>
                </c:pt>
                <c:pt idx="4">
                  <c:v>94.085999999999999</c:v>
                </c:pt>
                <c:pt idx="5">
                  <c:v>94.555000000000007</c:v>
                </c:pt>
                <c:pt idx="6">
                  <c:v>94.606999999999999</c:v>
                </c:pt>
                <c:pt idx="7">
                  <c:v>94.331000000000003</c:v>
                </c:pt>
                <c:pt idx="8">
                  <c:v>94.45</c:v>
                </c:pt>
                <c:pt idx="9">
                  <c:v>94.522000000000006</c:v>
                </c:pt>
                <c:pt idx="10">
                  <c:v>94.305000000000007</c:v>
                </c:pt>
                <c:pt idx="11">
                  <c:v>94.694000000000003</c:v>
                </c:pt>
                <c:pt idx="12">
                  <c:v>94.522000000000006</c:v>
                </c:pt>
                <c:pt idx="13">
                  <c:v>94.492000000000004</c:v>
                </c:pt>
                <c:pt idx="14">
                  <c:v>94.697999999999993</c:v>
                </c:pt>
                <c:pt idx="15">
                  <c:v>95.105999999999995</c:v>
                </c:pt>
                <c:pt idx="16">
                  <c:v>95.087000000000003</c:v>
                </c:pt>
                <c:pt idx="17">
                  <c:v>94.846999999999994</c:v>
                </c:pt>
                <c:pt idx="18">
                  <c:v>94.861999999999995</c:v>
                </c:pt>
                <c:pt idx="19">
                  <c:v>95.391000000000005</c:v>
                </c:pt>
                <c:pt idx="20">
                  <c:v>95.272999999999996</c:v>
                </c:pt>
              </c:numCache>
            </c:numRef>
          </c:yVal>
          <c:smooth val="0"/>
          <c:extLst>
            <c:ext xmlns:c16="http://schemas.microsoft.com/office/drawing/2014/chart" uri="{C3380CC4-5D6E-409C-BE32-E72D297353CC}">
              <c16:uniqueId val="{00000001-C592-4913-8943-41784B168308}"/>
            </c:ext>
          </c:extLst>
        </c:ser>
        <c:dLbls>
          <c:showLegendKey val="0"/>
          <c:showVal val="0"/>
          <c:showCatName val="0"/>
          <c:showSerName val="0"/>
          <c:showPercent val="0"/>
          <c:showBubbleSize val="0"/>
        </c:dLbls>
        <c:axId val="560588624"/>
        <c:axId val="565624240"/>
      </c:scatterChart>
      <c:valAx>
        <c:axId val="5605886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Lap</a:t>
                </a:r>
                <a:r>
                  <a:rPr lang="en-US" baseline="0"/>
                  <a:t> on Tyre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624240"/>
        <c:crosses val="autoZero"/>
        <c:crossBetween val="midCat"/>
      </c:valAx>
      <c:valAx>
        <c:axId val="565624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Lap</a:t>
                </a:r>
                <a:r>
                  <a:rPr lang="en-US" baseline="0"/>
                  <a:t> Time (S)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588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Sector Times by Driver - Bahrain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Analysis!$B$92</c:f>
              <c:strCache>
                <c:ptCount val="1"/>
                <c:pt idx="0">
                  <c:v>Best S1 (S)</c:v>
                </c:pt>
              </c:strCache>
            </c:strRef>
          </c:tx>
          <c:spPr>
            <a:solidFill>
              <a:srgbClr val="002060"/>
            </a:solidFill>
            <a:ln>
              <a:noFill/>
            </a:ln>
            <a:effectLst/>
          </c:spPr>
          <c:invertIfNegative val="0"/>
          <c:cat>
            <c:strRef>
              <c:f>Analysis!$A$93:$A$97</c:f>
              <c:strCache>
                <c:ptCount val="5"/>
                <c:pt idx="0">
                  <c:v>VER</c:v>
                </c:pt>
                <c:pt idx="1">
                  <c:v>HAM</c:v>
                </c:pt>
                <c:pt idx="2">
                  <c:v>ALO</c:v>
                </c:pt>
                <c:pt idx="3">
                  <c:v>LEC</c:v>
                </c:pt>
                <c:pt idx="4">
                  <c:v>NOR</c:v>
                </c:pt>
              </c:strCache>
            </c:strRef>
          </c:cat>
          <c:val>
            <c:numRef>
              <c:f>Analysis!$B$93:$B$97</c:f>
              <c:numCache>
                <c:formatCode>General</c:formatCode>
                <c:ptCount val="5"/>
                <c:pt idx="0">
                  <c:v>28.783999999999999</c:v>
                </c:pt>
                <c:pt idx="1">
                  <c:v>29.291</c:v>
                </c:pt>
                <c:pt idx="2">
                  <c:v>29.018000000000001</c:v>
                </c:pt>
                <c:pt idx="3">
                  <c:v>29.045000000000002</c:v>
                </c:pt>
                <c:pt idx="4">
                  <c:v>29.123999999999999</c:v>
                </c:pt>
              </c:numCache>
            </c:numRef>
          </c:val>
          <c:extLst>
            <c:ext xmlns:c16="http://schemas.microsoft.com/office/drawing/2014/chart" uri="{C3380CC4-5D6E-409C-BE32-E72D297353CC}">
              <c16:uniqueId val="{00000000-B728-4D54-A37A-60AABDC33EBF}"/>
            </c:ext>
          </c:extLst>
        </c:ser>
        <c:ser>
          <c:idx val="1"/>
          <c:order val="1"/>
          <c:tx>
            <c:strRef>
              <c:f>Analysis!$C$92</c:f>
              <c:strCache>
                <c:ptCount val="1"/>
                <c:pt idx="0">
                  <c:v>Best S2 (S)</c:v>
                </c:pt>
              </c:strCache>
            </c:strRef>
          </c:tx>
          <c:spPr>
            <a:solidFill>
              <a:srgbClr val="FF0000"/>
            </a:solidFill>
            <a:ln>
              <a:noFill/>
            </a:ln>
            <a:effectLst/>
          </c:spPr>
          <c:invertIfNegative val="0"/>
          <c:cat>
            <c:strRef>
              <c:f>Analysis!$A$93:$A$97</c:f>
              <c:strCache>
                <c:ptCount val="5"/>
                <c:pt idx="0">
                  <c:v>VER</c:v>
                </c:pt>
                <c:pt idx="1">
                  <c:v>HAM</c:v>
                </c:pt>
                <c:pt idx="2">
                  <c:v>ALO</c:v>
                </c:pt>
                <c:pt idx="3">
                  <c:v>LEC</c:v>
                </c:pt>
                <c:pt idx="4">
                  <c:v>NOR</c:v>
                </c:pt>
              </c:strCache>
            </c:strRef>
          </c:cat>
          <c:val>
            <c:numRef>
              <c:f>Analysis!$C$93:$C$97</c:f>
              <c:numCache>
                <c:formatCode>General</c:formatCode>
                <c:ptCount val="5"/>
                <c:pt idx="0">
                  <c:v>37.953000000000003</c:v>
                </c:pt>
                <c:pt idx="1">
                  <c:v>38.783000000000001</c:v>
                </c:pt>
                <c:pt idx="2">
                  <c:v>38.347000000000001</c:v>
                </c:pt>
                <c:pt idx="3">
                  <c:v>38.384</c:v>
                </c:pt>
                <c:pt idx="4">
                  <c:v>38.506999999999998</c:v>
                </c:pt>
              </c:numCache>
            </c:numRef>
          </c:val>
          <c:extLst>
            <c:ext xmlns:c16="http://schemas.microsoft.com/office/drawing/2014/chart" uri="{C3380CC4-5D6E-409C-BE32-E72D297353CC}">
              <c16:uniqueId val="{00000001-B728-4D54-A37A-60AABDC33EBF}"/>
            </c:ext>
          </c:extLst>
        </c:ser>
        <c:ser>
          <c:idx val="2"/>
          <c:order val="2"/>
          <c:tx>
            <c:strRef>
              <c:f>Analysis!$D$92</c:f>
              <c:strCache>
                <c:ptCount val="1"/>
                <c:pt idx="0">
                  <c:v>Best S3 (S)</c:v>
                </c:pt>
              </c:strCache>
            </c:strRef>
          </c:tx>
          <c:spPr>
            <a:solidFill>
              <a:srgbClr val="00B050"/>
            </a:solidFill>
            <a:ln>
              <a:noFill/>
            </a:ln>
            <a:effectLst/>
          </c:spPr>
          <c:invertIfNegative val="0"/>
          <c:cat>
            <c:strRef>
              <c:f>Analysis!$A$93:$A$97</c:f>
              <c:strCache>
                <c:ptCount val="5"/>
                <c:pt idx="0">
                  <c:v>VER</c:v>
                </c:pt>
                <c:pt idx="1">
                  <c:v>HAM</c:v>
                </c:pt>
                <c:pt idx="2">
                  <c:v>ALO</c:v>
                </c:pt>
                <c:pt idx="3">
                  <c:v>LEC</c:v>
                </c:pt>
                <c:pt idx="4">
                  <c:v>NOR</c:v>
                </c:pt>
              </c:strCache>
            </c:strRef>
          </c:cat>
          <c:val>
            <c:numRef>
              <c:f>Analysis!$D$93:$D$97</c:f>
              <c:numCache>
                <c:formatCode>General</c:formatCode>
                <c:ptCount val="5"/>
                <c:pt idx="0">
                  <c:v>26.021999999999998</c:v>
                </c:pt>
                <c:pt idx="1">
                  <c:v>26.317</c:v>
                </c:pt>
                <c:pt idx="2">
                  <c:v>26.045000000000002</c:v>
                </c:pt>
                <c:pt idx="3">
                  <c:v>25.957000000000001</c:v>
                </c:pt>
                <c:pt idx="4">
                  <c:v>25.998999999999999</c:v>
                </c:pt>
              </c:numCache>
            </c:numRef>
          </c:val>
          <c:extLst>
            <c:ext xmlns:c16="http://schemas.microsoft.com/office/drawing/2014/chart" uri="{C3380CC4-5D6E-409C-BE32-E72D297353CC}">
              <c16:uniqueId val="{00000002-B728-4D54-A37A-60AABDC33EBF}"/>
            </c:ext>
          </c:extLst>
        </c:ser>
        <c:dLbls>
          <c:showLegendKey val="0"/>
          <c:showVal val="0"/>
          <c:showCatName val="0"/>
          <c:showSerName val="0"/>
          <c:showPercent val="0"/>
          <c:showBubbleSize val="0"/>
        </c:dLbls>
        <c:gapWidth val="219"/>
        <c:overlap val="-27"/>
        <c:axId val="561610264"/>
        <c:axId val="561612064"/>
      </c:barChart>
      <c:catAx>
        <c:axId val="561610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Driver</a:t>
                </a:r>
              </a:p>
            </c:rich>
          </c:tx>
          <c:layout>
            <c:manualLayout>
              <c:xMode val="edge"/>
              <c:yMode val="edge"/>
              <c:x val="0.43787379702537182"/>
              <c:y val="0.772777048702245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612064"/>
        <c:crosses val="autoZero"/>
        <c:auto val="1"/>
        <c:lblAlgn val="ctr"/>
        <c:lblOffset val="100"/>
        <c:noMultiLvlLbl val="0"/>
      </c:catAx>
      <c:valAx>
        <c:axId val="561612064"/>
        <c:scaling>
          <c:orientation val="minMax"/>
          <c:max val="4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(S)</a:t>
                </a:r>
                <a:endParaRPr lang="en-US"/>
              </a:p>
            </c:rich>
          </c:tx>
          <c:layout>
            <c:manualLayout>
              <c:xMode val="edge"/>
              <c:yMode val="edge"/>
              <c:x val="1.6666666666666666E-2"/>
              <c:y val="0.372133275007290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610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Lap</a:t>
            </a:r>
            <a:r>
              <a:rPr lang="en-US" baseline="0"/>
              <a:t> Time Progression - Bahrain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v>VER</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'RaceData'!$R$2:$R$58</c:f>
              <c:numCache>
                <c:formatCode>General</c:formatCode>
                <c:ptCount val="5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numCache>
            </c:numRef>
          </c:cat>
          <c:val>
            <c:numRef>
              <c:f>Helper!$Q$2:$Q$58</c:f>
              <c:numCache>
                <c:formatCode>General</c:formatCode>
                <c:ptCount val="57"/>
                <c:pt idx="0">
                  <c:v>97.846000000000004</c:v>
                </c:pt>
                <c:pt idx="1">
                  <c:v>92.878</c:v>
                </c:pt>
                <c:pt idx="2">
                  <c:v>92.974999999999994</c:v>
                </c:pt>
                <c:pt idx="3">
                  <c:v>93.180999999999997</c:v>
                </c:pt>
                <c:pt idx="4">
                  <c:v>93.210999999999999</c:v>
                </c:pt>
                <c:pt idx="5">
                  <c:v>93.174999999999997</c:v>
                </c:pt>
                <c:pt idx="6">
                  <c:v>93.512</c:v>
                </c:pt>
                <c:pt idx="7">
                  <c:v>93.402000000000001</c:v>
                </c:pt>
                <c:pt idx="8">
                  <c:v>93.299000000000007</c:v>
                </c:pt>
                <c:pt idx="9">
                  <c:v>93.337000000000003</c:v>
                </c:pt>
                <c:pt idx="10">
                  <c:v>93.703000000000003</c:v>
                </c:pt>
                <c:pt idx="11">
                  <c:v>102.21599999999999</c:v>
                </c:pt>
                <c:pt idx="12">
                  <c:v>102.221</c:v>
                </c:pt>
                <c:pt idx="13">
                  <c:v>93.813999999999993</c:v>
                </c:pt>
                <c:pt idx="14">
                  <c:v>94.287999999999997</c:v>
                </c:pt>
                <c:pt idx="15">
                  <c:v>94.057000000000002</c:v>
                </c:pt>
                <c:pt idx="16">
                  <c:v>94.039000000000001</c:v>
                </c:pt>
                <c:pt idx="17">
                  <c:v>113.928</c:v>
                </c:pt>
                <c:pt idx="18">
                  <c:v>93.826999999999998</c:v>
                </c:pt>
                <c:pt idx="19">
                  <c:v>94.284000000000006</c:v>
                </c:pt>
                <c:pt idx="20">
                  <c:v>93.98</c:v>
                </c:pt>
                <c:pt idx="21">
                  <c:v>93.962000000000003</c:v>
                </c:pt>
                <c:pt idx="22">
                  <c:v>94.085999999999999</c:v>
                </c:pt>
                <c:pt idx="23">
                  <c:v>94.555000000000007</c:v>
                </c:pt>
                <c:pt idx="24">
                  <c:v>94.606999999999999</c:v>
                </c:pt>
                <c:pt idx="25">
                  <c:v>94.331000000000003</c:v>
                </c:pt>
                <c:pt idx="26">
                  <c:v>94.45</c:v>
                </c:pt>
                <c:pt idx="27">
                  <c:v>94.522000000000006</c:v>
                </c:pt>
                <c:pt idx="28">
                  <c:v>94.305000000000007</c:v>
                </c:pt>
                <c:pt idx="29">
                  <c:v>94.694000000000003</c:v>
                </c:pt>
                <c:pt idx="30">
                  <c:v>94.522000000000006</c:v>
                </c:pt>
                <c:pt idx="31">
                  <c:v>94.492000000000004</c:v>
                </c:pt>
                <c:pt idx="32">
                  <c:v>94.697999999999993</c:v>
                </c:pt>
                <c:pt idx="33">
                  <c:v>95.105999999999995</c:v>
                </c:pt>
                <c:pt idx="34">
                  <c:v>95.087000000000003</c:v>
                </c:pt>
                <c:pt idx="35">
                  <c:v>94.846999999999994</c:v>
                </c:pt>
                <c:pt idx="36">
                  <c:v>94.861999999999995</c:v>
                </c:pt>
                <c:pt idx="37">
                  <c:v>95.391000000000005</c:v>
                </c:pt>
                <c:pt idx="38">
                  <c:v>95.272999999999996</c:v>
                </c:pt>
                <c:pt idx="39">
                  <c:v>116.181</c:v>
                </c:pt>
                <c:pt idx="40">
                  <c:v>94.933999999999997</c:v>
                </c:pt>
                <c:pt idx="41">
                  <c:v>94.921000000000006</c:v>
                </c:pt>
                <c:pt idx="42">
                  <c:v>95.492999999999995</c:v>
                </c:pt>
                <c:pt idx="43">
                  <c:v>95.5</c:v>
                </c:pt>
                <c:pt idx="44">
                  <c:v>95.436999999999998</c:v>
                </c:pt>
                <c:pt idx="45">
                  <c:v>95.284999999999997</c:v>
                </c:pt>
                <c:pt idx="46">
                  <c:v>95.614999999999995</c:v>
                </c:pt>
                <c:pt idx="47">
                  <c:v>95.366</c:v>
                </c:pt>
                <c:pt idx="48">
                  <c:v>95.221999999999994</c:v>
                </c:pt>
                <c:pt idx="49">
                  <c:v>95.248000000000005</c:v>
                </c:pt>
                <c:pt idx="50">
                  <c:v>95.694999999999993</c:v>
                </c:pt>
                <c:pt idx="51">
                  <c:v>95.494</c:v>
                </c:pt>
                <c:pt idx="52">
                  <c:v>95.563999999999993</c:v>
                </c:pt>
                <c:pt idx="53">
                  <c:v>95.397999999999996</c:v>
                </c:pt>
                <c:pt idx="54">
                  <c:v>95.33</c:v>
                </c:pt>
                <c:pt idx="55">
                  <c:v>95.837000000000003</c:v>
                </c:pt>
                <c:pt idx="56">
                  <c:v>95.385999999999996</c:v>
                </c:pt>
              </c:numCache>
            </c:numRef>
          </c:val>
          <c:smooth val="0"/>
          <c:extLst>
            <c:ext xmlns:c16="http://schemas.microsoft.com/office/drawing/2014/chart" uri="{C3380CC4-5D6E-409C-BE32-E72D297353CC}">
              <c16:uniqueId val="{00000001-0852-41A5-BD03-9C92282F75A1}"/>
            </c:ext>
          </c:extLst>
        </c:ser>
        <c:ser>
          <c:idx val="2"/>
          <c:order val="1"/>
          <c:tx>
            <c:v>HAM</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'RaceData'!$R$2:$R$58</c:f>
              <c:numCache>
                <c:formatCode>General</c:formatCode>
                <c:ptCount val="5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numCache>
            </c:numRef>
          </c:cat>
          <c:val>
            <c:numRef>
              <c:f>Helper!$R$2:$R$58</c:f>
              <c:numCache>
                <c:formatCode>General</c:formatCode>
                <c:ptCount val="57"/>
                <c:pt idx="0">
                  <c:v>99.305000000000007</c:v>
                </c:pt>
                <c:pt idx="1">
                  <c:v>94.840999999999994</c:v>
                </c:pt>
                <c:pt idx="2">
                  <c:v>94.82</c:v>
                </c:pt>
                <c:pt idx="3">
                  <c:v>95.076999999999998</c:v>
                </c:pt>
                <c:pt idx="4">
                  <c:v>95.254999999999995</c:v>
                </c:pt>
                <c:pt idx="5">
                  <c:v>95.301000000000002</c:v>
                </c:pt>
                <c:pt idx="6">
                  <c:v>95.269000000000005</c:v>
                </c:pt>
                <c:pt idx="7">
                  <c:v>95.513000000000005</c:v>
                </c:pt>
                <c:pt idx="8">
                  <c:v>95.117999999999995</c:v>
                </c:pt>
                <c:pt idx="9">
                  <c:v>95.635000000000005</c:v>
                </c:pt>
                <c:pt idx="10">
                  <c:v>95.34</c:v>
                </c:pt>
                <c:pt idx="11">
                  <c:v>103.759</c:v>
                </c:pt>
                <c:pt idx="12">
                  <c:v>103.895</c:v>
                </c:pt>
                <c:pt idx="13">
                  <c:v>95.664000000000001</c:v>
                </c:pt>
                <c:pt idx="14">
                  <c:v>95.468000000000004</c:v>
                </c:pt>
                <c:pt idx="15">
                  <c:v>95.924000000000007</c:v>
                </c:pt>
                <c:pt idx="16">
                  <c:v>95.938000000000002</c:v>
                </c:pt>
                <c:pt idx="17">
                  <c:v>95.5</c:v>
                </c:pt>
                <c:pt idx="18">
                  <c:v>95.650999999999996</c:v>
                </c:pt>
                <c:pt idx="19">
                  <c:v>96.025999999999996</c:v>
                </c:pt>
                <c:pt idx="20">
                  <c:v>95.816999999999993</c:v>
                </c:pt>
                <c:pt idx="21">
                  <c:v>114.747</c:v>
                </c:pt>
                <c:pt idx="22">
                  <c:v>95.947000000000003</c:v>
                </c:pt>
                <c:pt idx="23">
                  <c:v>96.091999999999999</c:v>
                </c:pt>
                <c:pt idx="24">
                  <c:v>96.03</c:v>
                </c:pt>
                <c:pt idx="25">
                  <c:v>95.995000000000005</c:v>
                </c:pt>
                <c:pt idx="26">
                  <c:v>95.98</c:v>
                </c:pt>
                <c:pt idx="27">
                  <c:v>96.277000000000001</c:v>
                </c:pt>
                <c:pt idx="28">
                  <c:v>95.847999999999999</c:v>
                </c:pt>
                <c:pt idx="29">
                  <c:v>96.015000000000001</c:v>
                </c:pt>
                <c:pt idx="30">
                  <c:v>96.286000000000001</c:v>
                </c:pt>
                <c:pt idx="31">
                  <c:v>96.521000000000001</c:v>
                </c:pt>
                <c:pt idx="32">
                  <c:v>96.417000000000002</c:v>
                </c:pt>
                <c:pt idx="33">
                  <c:v>96.173000000000002</c:v>
                </c:pt>
                <c:pt idx="34">
                  <c:v>96.236000000000004</c:v>
                </c:pt>
                <c:pt idx="35">
                  <c:v>96.427000000000007</c:v>
                </c:pt>
                <c:pt idx="36">
                  <c:v>96.388999999999996</c:v>
                </c:pt>
                <c:pt idx="37">
                  <c:v>96.415000000000006</c:v>
                </c:pt>
                <c:pt idx="38">
                  <c:v>96.626999999999995</c:v>
                </c:pt>
                <c:pt idx="39">
                  <c:v>96.361999999999995</c:v>
                </c:pt>
                <c:pt idx="40">
                  <c:v>96.450999999999993</c:v>
                </c:pt>
                <c:pt idx="41">
                  <c:v>96.346999999999994</c:v>
                </c:pt>
                <c:pt idx="42">
                  <c:v>96.653999999999996</c:v>
                </c:pt>
                <c:pt idx="43">
                  <c:v>115.31100000000001</c:v>
                </c:pt>
                <c:pt idx="44">
                  <c:v>94.662000000000006</c:v>
                </c:pt>
                <c:pt idx="45">
                  <c:v>95.019000000000005</c:v>
                </c:pt>
                <c:pt idx="46">
                  <c:v>94.844999999999999</c:v>
                </c:pt>
                <c:pt idx="47">
                  <c:v>95.072999999999993</c:v>
                </c:pt>
                <c:pt idx="48">
                  <c:v>95.284999999999997</c:v>
                </c:pt>
                <c:pt idx="49">
                  <c:v>95.179000000000002</c:v>
                </c:pt>
                <c:pt idx="50">
                  <c:v>95.441000000000003</c:v>
                </c:pt>
                <c:pt idx="51">
                  <c:v>95.448999999999998</c:v>
                </c:pt>
                <c:pt idx="52">
                  <c:v>95.034000000000006</c:v>
                </c:pt>
                <c:pt idx="53">
                  <c:v>95.162000000000006</c:v>
                </c:pt>
                <c:pt idx="54">
                  <c:v>95.242999999999995</c:v>
                </c:pt>
                <c:pt idx="55">
                  <c:v>95.16</c:v>
                </c:pt>
                <c:pt idx="56">
                  <c:v>95.721999999999994</c:v>
                </c:pt>
              </c:numCache>
            </c:numRef>
          </c:val>
          <c:smooth val="0"/>
          <c:extLst>
            <c:ext xmlns:c16="http://schemas.microsoft.com/office/drawing/2014/chart" uri="{C3380CC4-5D6E-409C-BE32-E72D297353CC}">
              <c16:uniqueId val="{00000002-0852-41A5-BD03-9C92282F75A1}"/>
            </c:ext>
          </c:extLst>
        </c:ser>
        <c:ser>
          <c:idx val="3"/>
          <c:order val="2"/>
          <c:tx>
            <c:v>ALO</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'RaceData'!$R$2:$R$58</c:f>
              <c:numCache>
                <c:formatCode>General</c:formatCode>
                <c:ptCount val="5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numCache>
            </c:numRef>
          </c:cat>
          <c:val>
            <c:numRef>
              <c:f>Helper!$S$2:$S$58</c:f>
              <c:numCache>
                <c:formatCode>General</c:formatCode>
                <c:ptCount val="57"/>
                <c:pt idx="0">
                  <c:v>97.816000000000003</c:v>
                </c:pt>
                <c:pt idx="1">
                  <c:v>93.537999999999997</c:v>
                </c:pt>
                <c:pt idx="2">
                  <c:v>93.89</c:v>
                </c:pt>
                <c:pt idx="3">
                  <c:v>94.179000000000002</c:v>
                </c:pt>
                <c:pt idx="4">
                  <c:v>93.792000000000002</c:v>
                </c:pt>
                <c:pt idx="5">
                  <c:v>94.146000000000001</c:v>
                </c:pt>
                <c:pt idx="6">
                  <c:v>94.28</c:v>
                </c:pt>
                <c:pt idx="7">
                  <c:v>94.007000000000005</c:v>
                </c:pt>
                <c:pt idx="8">
                  <c:v>94.492999999999995</c:v>
                </c:pt>
                <c:pt idx="9">
                  <c:v>94.495000000000005</c:v>
                </c:pt>
                <c:pt idx="10">
                  <c:v>94.545000000000002</c:v>
                </c:pt>
                <c:pt idx="11">
                  <c:v>102.967</c:v>
                </c:pt>
                <c:pt idx="12">
                  <c:v>103.134</c:v>
                </c:pt>
                <c:pt idx="13">
                  <c:v>94.900999999999996</c:v>
                </c:pt>
                <c:pt idx="14">
                  <c:v>94.881</c:v>
                </c:pt>
                <c:pt idx="15">
                  <c:v>113.515</c:v>
                </c:pt>
                <c:pt idx="16">
                  <c:v>95.751999999999995</c:v>
                </c:pt>
                <c:pt idx="17">
                  <c:v>95.783000000000001</c:v>
                </c:pt>
                <c:pt idx="18">
                  <c:v>96.004999999999995</c:v>
                </c:pt>
                <c:pt idx="19">
                  <c:v>96.269000000000005</c:v>
                </c:pt>
                <c:pt idx="20">
                  <c:v>96.412999999999997</c:v>
                </c:pt>
                <c:pt idx="21">
                  <c:v>96.293999999999997</c:v>
                </c:pt>
                <c:pt idx="22">
                  <c:v>95.988</c:v>
                </c:pt>
                <c:pt idx="23">
                  <c:v>96.31</c:v>
                </c:pt>
                <c:pt idx="24">
                  <c:v>96.575000000000003</c:v>
                </c:pt>
                <c:pt idx="25">
                  <c:v>96.039000000000001</c:v>
                </c:pt>
                <c:pt idx="26">
                  <c:v>96.602000000000004</c:v>
                </c:pt>
                <c:pt idx="27">
                  <c:v>96.593000000000004</c:v>
                </c:pt>
                <c:pt idx="28">
                  <c:v>96.421999999999997</c:v>
                </c:pt>
                <c:pt idx="29">
                  <c:v>96.486999999999995</c:v>
                </c:pt>
                <c:pt idx="30">
                  <c:v>96.686999999999998</c:v>
                </c:pt>
                <c:pt idx="31">
                  <c:v>96.753</c:v>
                </c:pt>
                <c:pt idx="32">
                  <c:v>96.632000000000005</c:v>
                </c:pt>
                <c:pt idx="33">
                  <c:v>96.63</c:v>
                </c:pt>
                <c:pt idx="34">
                  <c:v>96.536000000000001</c:v>
                </c:pt>
                <c:pt idx="35">
                  <c:v>96.704999999999998</c:v>
                </c:pt>
                <c:pt idx="36">
                  <c:v>96.772999999999996</c:v>
                </c:pt>
                <c:pt idx="37">
                  <c:v>96.682000000000002</c:v>
                </c:pt>
                <c:pt idx="38">
                  <c:v>97.043000000000006</c:v>
                </c:pt>
                <c:pt idx="39">
                  <c:v>96.513999999999996</c:v>
                </c:pt>
                <c:pt idx="40">
                  <c:v>96.712000000000003</c:v>
                </c:pt>
                <c:pt idx="41">
                  <c:v>115.78400000000001</c:v>
                </c:pt>
                <c:pt idx="42">
                  <c:v>95.200999999999993</c:v>
                </c:pt>
                <c:pt idx="43">
                  <c:v>95.046999999999997</c:v>
                </c:pt>
                <c:pt idx="44">
                  <c:v>95.238</c:v>
                </c:pt>
                <c:pt idx="45">
                  <c:v>94.89</c:v>
                </c:pt>
                <c:pt idx="46">
                  <c:v>95.26</c:v>
                </c:pt>
                <c:pt idx="47">
                  <c:v>95.177000000000007</c:v>
                </c:pt>
                <c:pt idx="48">
                  <c:v>95.123000000000005</c:v>
                </c:pt>
                <c:pt idx="49">
                  <c:v>95.113</c:v>
                </c:pt>
                <c:pt idx="50">
                  <c:v>95.331000000000003</c:v>
                </c:pt>
                <c:pt idx="51">
                  <c:v>95.409000000000006</c:v>
                </c:pt>
                <c:pt idx="52">
                  <c:v>95.204999999999998</c:v>
                </c:pt>
                <c:pt idx="53">
                  <c:v>95.319000000000003</c:v>
                </c:pt>
                <c:pt idx="54">
                  <c:v>95.814999999999998</c:v>
                </c:pt>
                <c:pt idx="55">
                  <c:v>95.86</c:v>
                </c:pt>
                <c:pt idx="56">
                  <c:v>95.87</c:v>
                </c:pt>
              </c:numCache>
            </c:numRef>
          </c:val>
          <c:smooth val="0"/>
          <c:extLst>
            <c:ext xmlns:c16="http://schemas.microsoft.com/office/drawing/2014/chart" uri="{C3380CC4-5D6E-409C-BE32-E72D297353CC}">
              <c16:uniqueId val="{00000003-0852-41A5-BD03-9C92282F75A1}"/>
            </c:ext>
          </c:extLst>
        </c:ser>
        <c:ser>
          <c:idx val="4"/>
          <c:order val="3"/>
          <c:tx>
            <c:v>LEC</c:v>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'RaceData'!$R$2:$R$58</c:f>
              <c:numCache>
                <c:formatCode>General</c:formatCode>
                <c:ptCount val="5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numCache>
            </c:numRef>
          </c:cat>
          <c:val>
            <c:numRef>
              <c:f>Helper!$T$2:$T$58</c:f>
              <c:numCache>
                <c:formatCode>General</c:formatCode>
                <c:ptCount val="57"/>
                <c:pt idx="0">
                  <c:v>97.481999999999999</c:v>
                </c:pt>
                <c:pt idx="1">
                  <c:v>94.069000000000003</c:v>
                </c:pt>
                <c:pt idx="2">
                  <c:v>94.034000000000006</c:v>
                </c:pt>
                <c:pt idx="3">
                  <c:v>93.731999999999999</c:v>
                </c:pt>
                <c:pt idx="4">
                  <c:v>93.832999999999998</c:v>
                </c:pt>
                <c:pt idx="5">
                  <c:v>94.108000000000004</c:v>
                </c:pt>
                <c:pt idx="6">
                  <c:v>94.188999999999993</c:v>
                </c:pt>
                <c:pt idx="7">
                  <c:v>94.366</c:v>
                </c:pt>
                <c:pt idx="8">
                  <c:v>94.742000000000004</c:v>
                </c:pt>
                <c:pt idx="9">
                  <c:v>94.7</c:v>
                </c:pt>
                <c:pt idx="10">
                  <c:v>94.525999999999996</c:v>
                </c:pt>
                <c:pt idx="11">
                  <c:v>103.21299999999999</c:v>
                </c:pt>
                <c:pt idx="12">
                  <c:v>103.176</c:v>
                </c:pt>
                <c:pt idx="13">
                  <c:v>94.811000000000007</c:v>
                </c:pt>
                <c:pt idx="14">
                  <c:v>95.215999999999994</c:v>
                </c:pt>
                <c:pt idx="15">
                  <c:v>95.231999999999999</c:v>
                </c:pt>
                <c:pt idx="16">
                  <c:v>95.421999999999997</c:v>
                </c:pt>
                <c:pt idx="17">
                  <c:v>95.346000000000004</c:v>
                </c:pt>
                <c:pt idx="18">
                  <c:v>95.195999999999998</c:v>
                </c:pt>
                <c:pt idx="19">
                  <c:v>116.83499999999999</c:v>
                </c:pt>
                <c:pt idx="20">
                  <c:v>94.878</c:v>
                </c:pt>
                <c:pt idx="21">
                  <c:v>95.146000000000001</c:v>
                </c:pt>
                <c:pt idx="22">
                  <c:v>95.222999999999999</c:v>
                </c:pt>
                <c:pt idx="23">
                  <c:v>95.212999999999994</c:v>
                </c:pt>
                <c:pt idx="24">
                  <c:v>95.384</c:v>
                </c:pt>
                <c:pt idx="25">
                  <c:v>95.049000000000007</c:v>
                </c:pt>
                <c:pt idx="26">
                  <c:v>95.447999999999993</c:v>
                </c:pt>
                <c:pt idx="27">
                  <c:v>95.356999999999999</c:v>
                </c:pt>
                <c:pt idx="28">
                  <c:v>95.722999999999999</c:v>
                </c:pt>
                <c:pt idx="29">
                  <c:v>95.796999999999997</c:v>
                </c:pt>
                <c:pt idx="30">
                  <c:v>95.882999999999996</c:v>
                </c:pt>
                <c:pt idx="31">
                  <c:v>95.566000000000003</c:v>
                </c:pt>
                <c:pt idx="32">
                  <c:v>95.656999999999996</c:v>
                </c:pt>
                <c:pt idx="33">
                  <c:v>95.602000000000004</c:v>
                </c:pt>
                <c:pt idx="34">
                  <c:v>95.77</c:v>
                </c:pt>
                <c:pt idx="35">
                  <c:v>95.834999999999994</c:v>
                </c:pt>
                <c:pt idx="36">
                  <c:v>96.001000000000005</c:v>
                </c:pt>
                <c:pt idx="37">
                  <c:v>117.303</c:v>
                </c:pt>
                <c:pt idx="38">
                  <c:v>96.253</c:v>
                </c:pt>
                <c:pt idx="39">
                  <c:v>95.894000000000005</c:v>
                </c:pt>
                <c:pt idx="40">
                  <c:v>96.445999999999998</c:v>
                </c:pt>
                <c:pt idx="41">
                  <c:v>96.244</c:v>
                </c:pt>
                <c:pt idx="42">
                  <c:v>96.445999999999998</c:v>
                </c:pt>
                <c:pt idx="43">
                  <c:v>96.450999999999993</c:v>
                </c:pt>
                <c:pt idx="44">
                  <c:v>96.295000000000002</c:v>
                </c:pt>
                <c:pt idx="45">
                  <c:v>96.197999999999993</c:v>
                </c:pt>
                <c:pt idx="46">
                  <c:v>96.397999999999996</c:v>
                </c:pt>
                <c:pt idx="47">
                  <c:v>96.376000000000005</c:v>
                </c:pt>
                <c:pt idx="48">
                  <c:v>96.236999999999995</c:v>
                </c:pt>
                <c:pt idx="49">
                  <c:v>96.302999999999997</c:v>
                </c:pt>
                <c:pt idx="50">
                  <c:v>96.257999999999996</c:v>
                </c:pt>
                <c:pt idx="51">
                  <c:v>96.403999999999996</c:v>
                </c:pt>
                <c:pt idx="52">
                  <c:v>96.349000000000004</c:v>
                </c:pt>
                <c:pt idx="53">
                  <c:v>96.768000000000001</c:v>
                </c:pt>
                <c:pt idx="54">
                  <c:v>96.492999999999995</c:v>
                </c:pt>
                <c:pt idx="55">
                  <c:v>96.608000000000004</c:v>
                </c:pt>
                <c:pt idx="56">
                  <c:v>96.501000000000005</c:v>
                </c:pt>
              </c:numCache>
            </c:numRef>
          </c:val>
          <c:smooth val="0"/>
          <c:extLst>
            <c:ext xmlns:c16="http://schemas.microsoft.com/office/drawing/2014/chart" uri="{C3380CC4-5D6E-409C-BE32-E72D297353CC}">
              <c16:uniqueId val="{00000004-0852-41A5-BD03-9C92282F75A1}"/>
            </c:ext>
          </c:extLst>
        </c:ser>
        <c:ser>
          <c:idx val="5"/>
          <c:order val="4"/>
          <c:tx>
            <c:v>NOR</c:v>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'RaceData'!$R$2:$R$58</c:f>
              <c:numCache>
                <c:formatCode>General</c:formatCode>
                <c:ptCount val="5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numCache>
            </c:numRef>
          </c:cat>
          <c:val>
            <c:numRef>
              <c:f>Helper!$U$2:$U$58</c:f>
              <c:numCache>
                <c:formatCode>General</c:formatCode>
                <c:ptCount val="57"/>
                <c:pt idx="0">
                  <c:v>99.748999999999995</c:v>
                </c:pt>
                <c:pt idx="1">
                  <c:v>95.34</c:v>
                </c:pt>
                <c:pt idx="2">
                  <c:v>95.399000000000001</c:v>
                </c:pt>
                <c:pt idx="3">
                  <c:v>95.221999999999994</c:v>
                </c:pt>
                <c:pt idx="4">
                  <c:v>95.623000000000005</c:v>
                </c:pt>
                <c:pt idx="5">
                  <c:v>95.605000000000004</c:v>
                </c:pt>
                <c:pt idx="6">
                  <c:v>95.430999999999997</c:v>
                </c:pt>
                <c:pt idx="7">
                  <c:v>95.59</c:v>
                </c:pt>
                <c:pt idx="8">
                  <c:v>96.046000000000006</c:v>
                </c:pt>
                <c:pt idx="9">
                  <c:v>95.808000000000007</c:v>
                </c:pt>
                <c:pt idx="10">
                  <c:v>95.625</c:v>
                </c:pt>
                <c:pt idx="11">
                  <c:v>104.639</c:v>
                </c:pt>
                <c:pt idx="12">
                  <c:v>104.741</c:v>
                </c:pt>
                <c:pt idx="13">
                  <c:v>96.063999999999993</c:v>
                </c:pt>
                <c:pt idx="14">
                  <c:v>96.221999999999994</c:v>
                </c:pt>
                <c:pt idx="15">
                  <c:v>96.298000000000002</c:v>
                </c:pt>
                <c:pt idx="16">
                  <c:v>96.528000000000006</c:v>
                </c:pt>
                <c:pt idx="17">
                  <c:v>96.215999999999994</c:v>
                </c:pt>
                <c:pt idx="18">
                  <c:v>96.584999999999994</c:v>
                </c:pt>
                <c:pt idx="19">
                  <c:v>96.417000000000002</c:v>
                </c:pt>
                <c:pt idx="20">
                  <c:v>96.55</c:v>
                </c:pt>
                <c:pt idx="21">
                  <c:v>96.239000000000004</c:v>
                </c:pt>
                <c:pt idx="22">
                  <c:v>96.578000000000003</c:v>
                </c:pt>
                <c:pt idx="23">
                  <c:v>96.507999999999996</c:v>
                </c:pt>
                <c:pt idx="24">
                  <c:v>116.69499999999999</c:v>
                </c:pt>
                <c:pt idx="25">
                  <c:v>93.974000000000004</c:v>
                </c:pt>
                <c:pt idx="26">
                  <c:v>94.182000000000002</c:v>
                </c:pt>
                <c:pt idx="27">
                  <c:v>94.459000000000003</c:v>
                </c:pt>
                <c:pt idx="28">
                  <c:v>94.271000000000001</c:v>
                </c:pt>
                <c:pt idx="29">
                  <c:v>94.350999999999999</c:v>
                </c:pt>
                <c:pt idx="30">
                  <c:v>94.388000000000005</c:v>
                </c:pt>
                <c:pt idx="31">
                  <c:v>94.623000000000005</c:v>
                </c:pt>
                <c:pt idx="32">
                  <c:v>94.81</c:v>
                </c:pt>
                <c:pt idx="33">
                  <c:v>94.531999999999996</c:v>
                </c:pt>
                <c:pt idx="34">
                  <c:v>94.873000000000005</c:v>
                </c:pt>
                <c:pt idx="35">
                  <c:v>95.108000000000004</c:v>
                </c:pt>
                <c:pt idx="36">
                  <c:v>94.858999999999995</c:v>
                </c:pt>
                <c:pt idx="37">
                  <c:v>95.384</c:v>
                </c:pt>
                <c:pt idx="38">
                  <c:v>95.35</c:v>
                </c:pt>
                <c:pt idx="39">
                  <c:v>115.202</c:v>
                </c:pt>
                <c:pt idx="40">
                  <c:v>96.563999999999993</c:v>
                </c:pt>
                <c:pt idx="41">
                  <c:v>96.442999999999998</c:v>
                </c:pt>
                <c:pt idx="42">
                  <c:v>96.492999999999995</c:v>
                </c:pt>
                <c:pt idx="43">
                  <c:v>96.768000000000001</c:v>
                </c:pt>
                <c:pt idx="44">
                  <c:v>96.488</c:v>
                </c:pt>
                <c:pt idx="45">
                  <c:v>96.7</c:v>
                </c:pt>
                <c:pt idx="46">
                  <c:v>96.531999999999996</c:v>
                </c:pt>
                <c:pt idx="47">
                  <c:v>96.866</c:v>
                </c:pt>
                <c:pt idx="48">
                  <c:v>96.629000000000005</c:v>
                </c:pt>
                <c:pt idx="49">
                  <c:v>96.54</c:v>
                </c:pt>
                <c:pt idx="50">
                  <c:v>96.876000000000005</c:v>
                </c:pt>
                <c:pt idx="51">
                  <c:v>96.853999999999999</c:v>
                </c:pt>
                <c:pt idx="52">
                  <c:v>96.881</c:v>
                </c:pt>
                <c:pt idx="53">
                  <c:v>96.596999999999994</c:v>
                </c:pt>
                <c:pt idx="54">
                  <c:v>96.734999999999999</c:v>
                </c:pt>
                <c:pt idx="55">
                  <c:v>97.195999999999998</c:v>
                </c:pt>
                <c:pt idx="56">
                  <c:v>97.093999999999994</c:v>
                </c:pt>
              </c:numCache>
            </c:numRef>
          </c:val>
          <c:smooth val="0"/>
          <c:extLst>
            <c:ext xmlns:c16="http://schemas.microsoft.com/office/drawing/2014/chart" uri="{C3380CC4-5D6E-409C-BE32-E72D297353CC}">
              <c16:uniqueId val="{00000005-0852-41A5-BD03-9C92282F75A1}"/>
            </c:ext>
          </c:extLst>
        </c:ser>
        <c:dLbls>
          <c:showLegendKey val="0"/>
          <c:showVal val="0"/>
          <c:showCatName val="0"/>
          <c:showSerName val="0"/>
          <c:showPercent val="0"/>
          <c:showBubbleSize val="0"/>
        </c:dLbls>
        <c:marker val="1"/>
        <c:smooth val="0"/>
        <c:axId val="573060960"/>
        <c:axId val="573025112"/>
      </c:lineChart>
      <c:catAx>
        <c:axId val="573060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Lap</a:t>
                </a:r>
                <a:r>
                  <a:rPr lang="en-US" baseline="0"/>
                  <a:t> Number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025112"/>
        <c:crosses val="autoZero"/>
        <c:auto val="1"/>
        <c:lblAlgn val="ctr"/>
        <c:lblOffset val="100"/>
        <c:noMultiLvlLbl val="0"/>
      </c:catAx>
      <c:valAx>
        <c:axId val="573025112"/>
        <c:scaling>
          <c:orientation val="minMax"/>
          <c:max val="125"/>
          <c:min val="8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Lap</a:t>
                </a:r>
                <a:r>
                  <a:rPr lang="en-US" baseline="0"/>
                  <a:t> Time (s)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060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129092</xdr:colOff>
      <xdr:row>108</xdr:row>
      <xdr:rowOff>176156</xdr:rowOff>
    </xdr:from>
    <xdr:to>
      <xdr:col>7</xdr:col>
      <xdr:colOff>254598</xdr:colOff>
      <xdr:row>122</xdr:row>
      <xdr:rowOff>133014</xdr:rowOff>
    </xdr:to>
    <mc:AlternateContent xmlns:mc="http://schemas.openxmlformats.org/markup-compatibility/2006" xmlns:a14="http://schemas.microsoft.com/office/drawing/2010/main">
      <mc:Choice Requires="a14">
        <xdr:graphicFrame macro="">
          <xdr:nvGraphicFramePr>
            <xdr:cNvPr id="4" name="Driver_Code">
              <a:extLst>
                <a:ext uri="{FF2B5EF4-FFF2-40B4-BE49-F238E27FC236}">
                  <a16:creationId xmlns:a16="http://schemas.microsoft.com/office/drawing/2014/main" id="{63E97EE9-FC54-3D02-CAC2-93D161C0526E}"/>
                </a:ext>
              </a:extLst>
            </xdr:cNvPr>
            <xdr:cNvGraphicFramePr/>
          </xdr:nvGraphicFramePr>
          <xdr:xfrm>
            <a:off x="0" y="0"/>
            <a:ext cx="0" cy="0"/>
          </xdr:xfrm>
          <a:graphic>
            <a:graphicData uri="http://schemas.microsoft.com/office/drawing/2010/slicer">
              <sle:slicer xmlns:sle="http://schemas.microsoft.com/office/drawing/2010/slicer" name="Driver_Code"/>
            </a:graphicData>
          </a:graphic>
        </xdr:graphicFrame>
      </mc:Choice>
      <mc:Fallback xmlns="">
        <xdr:sp macro="" textlink="">
          <xdr:nvSpPr>
            <xdr:cNvPr id="0" name=""/>
            <xdr:cNvSpPr>
              <a:spLocks noTextEdit="1"/>
            </xdr:cNvSpPr>
          </xdr:nvSpPr>
          <xdr:spPr>
            <a:xfrm>
              <a:off x="3858410" y="19539921"/>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17481</xdr:colOff>
      <xdr:row>108</xdr:row>
      <xdr:rowOff>172122</xdr:rowOff>
    </xdr:from>
    <xdr:to>
      <xdr:col>10</xdr:col>
      <xdr:colOff>420893</xdr:colOff>
      <xdr:row>122</xdr:row>
      <xdr:rowOff>128980</xdr:rowOff>
    </xdr:to>
    <mc:AlternateContent xmlns:mc="http://schemas.openxmlformats.org/markup-compatibility/2006" xmlns:a14="http://schemas.microsoft.com/office/drawing/2010/main">
      <mc:Choice Requires="a14">
        <xdr:graphicFrame macro="">
          <xdr:nvGraphicFramePr>
            <xdr:cNvPr id="5" name="Tyre_Compound">
              <a:extLst>
                <a:ext uri="{FF2B5EF4-FFF2-40B4-BE49-F238E27FC236}">
                  <a16:creationId xmlns:a16="http://schemas.microsoft.com/office/drawing/2014/main" id="{620A4FBE-A806-624C-B991-DF710A8A6690}"/>
                </a:ext>
              </a:extLst>
            </xdr:cNvPr>
            <xdr:cNvGraphicFramePr/>
          </xdr:nvGraphicFramePr>
          <xdr:xfrm>
            <a:off x="0" y="0"/>
            <a:ext cx="0" cy="0"/>
          </xdr:xfrm>
          <a:graphic>
            <a:graphicData uri="http://schemas.microsoft.com/office/drawing/2010/slicer">
              <sle:slicer xmlns:sle="http://schemas.microsoft.com/office/drawing/2010/slicer" name="Tyre_Compound"/>
            </a:graphicData>
          </a:graphic>
        </xdr:graphicFrame>
      </mc:Choice>
      <mc:Fallback xmlns="">
        <xdr:sp macro="" textlink="">
          <xdr:nvSpPr>
            <xdr:cNvPr id="0" name=""/>
            <xdr:cNvSpPr>
              <a:spLocks noTextEdit="1"/>
            </xdr:cNvSpPr>
          </xdr:nvSpPr>
          <xdr:spPr>
            <a:xfrm>
              <a:off x="5790752" y="1953588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134417</xdr:colOff>
      <xdr:row>15</xdr:row>
      <xdr:rowOff>38348</xdr:rowOff>
    </xdr:from>
    <xdr:to>
      <xdr:col>14</xdr:col>
      <xdr:colOff>280043</xdr:colOff>
      <xdr:row>30</xdr:row>
      <xdr:rowOff>92136</xdr:rowOff>
    </xdr:to>
    <xdr:graphicFrame macro="">
      <xdr:nvGraphicFramePr>
        <xdr:cNvPr id="2" name="Chart 1">
          <a:extLst>
            <a:ext uri="{FF2B5EF4-FFF2-40B4-BE49-F238E27FC236}">
              <a16:creationId xmlns:a16="http://schemas.microsoft.com/office/drawing/2014/main" id="{11A20C18-7CD1-867E-05D5-87AC10256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50346</xdr:colOff>
      <xdr:row>15</xdr:row>
      <xdr:rowOff>163158</xdr:rowOff>
    </xdr:from>
    <xdr:to>
      <xdr:col>7</xdr:col>
      <xdr:colOff>768219</xdr:colOff>
      <xdr:row>30</xdr:row>
      <xdr:rowOff>19475</xdr:rowOff>
    </xdr:to>
    <xdr:graphicFrame macro="">
      <xdr:nvGraphicFramePr>
        <xdr:cNvPr id="3" name="Chart 2">
          <a:extLst>
            <a:ext uri="{FF2B5EF4-FFF2-40B4-BE49-F238E27FC236}">
              <a16:creationId xmlns:a16="http://schemas.microsoft.com/office/drawing/2014/main" id="{348A921D-CFDC-40D2-18E7-1A320686C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168515</xdr:colOff>
      <xdr:row>37</xdr:row>
      <xdr:rowOff>38594</xdr:rowOff>
    </xdr:from>
    <xdr:to>
      <xdr:col>12</xdr:col>
      <xdr:colOff>498813</xdr:colOff>
      <xdr:row>64</xdr:row>
      <xdr:rowOff>23978</xdr:rowOff>
    </xdr:to>
    <xdr:graphicFrame macro="">
      <xdr:nvGraphicFramePr>
        <xdr:cNvPr id="5" name="Chart 1">
          <a:extLst>
            <a:ext uri="{FF2B5EF4-FFF2-40B4-BE49-F238E27FC236}">
              <a16:creationId xmlns:a16="http://schemas.microsoft.com/office/drawing/2014/main" id="{F5CB7704-F735-01BC-08AA-67608E607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240317</xdr:colOff>
      <xdr:row>12</xdr:row>
      <xdr:rowOff>172927</xdr:rowOff>
    </xdr:from>
    <xdr:ext cx="2701124" cy="405432"/>
    <xdr:sp macro="" textlink="">
      <xdr:nvSpPr>
        <xdr:cNvPr id="8" name="TextBox 7">
          <a:extLst>
            <a:ext uri="{FF2B5EF4-FFF2-40B4-BE49-F238E27FC236}">
              <a16:creationId xmlns:a16="http://schemas.microsoft.com/office/drawing/2014/main" id="{986D935F-C7A5-F500-B0F7-978094C3EF19}"/>
            </a:ext>
          </a:extLst>
        </xdr:cNvPr>
        <xdr:cNvSpPr txBox="1"/>
      </xdr:nvSpPr>
      <xdr:spPr>
        <a:xfrm>
          <a:off x="240317" y="2645194"/>
          <a:ext cx="270112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baseline="0"/>
            <a:t>Sector  Times of Drivers</a:t>
          </a:r>
          <a:endParaRPr lang="en-US" sz="2000" b="1"/>
        </a:p>
      </xdr:txBody>
    </xdr:sp>
    <xdr:clientData/>
  </xdr:oneCellAnchor>
  <xdr:oneCellAnchor>
    <xdr:from>
      <xdr:col>8</xdr:col>
      <xdr:colOff>1281716</xdr:colOff>
      <xdr:row>12</xdr:row>
      <xdr:rowOff>119552</xdr:rowOff>
    </xdr:from>
    <xdr:ext cx="2033185" cy="405432"/>
    <xdr:sp macro="" textlink="">
      <xdr:nvSpPr>
        <xdr:cNvPr id="9" name="TextBox 8">
          <a:extLst>
            <a:ext uri="{FF2B5EF4-FFF2-40B4-BE49-F238E27FC236}">
              <a16:creationId xmlns:a16="http://schemas.microsoft.com/office/drawing/2014/main" id="{0EC29646-7040-EA3D-0EF8-2EFD4D2DE21A}"/>
            </a:ext>
          </a:extLst>
        </xdr:cNvPr>
        <xdr:cNvSpPr txBox="1"/>
      </xdr:nvSpPr>
      <xdr:spPr>
        <a:xfrm>
          <a:off x="6937449" y="2591819"/>
          <a:ext cx="203318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t>Tyre Degradation</a:t>
          </a:r>
        </a:p>
      </xdr:txBody>
    </xdr:sp>
    <xdr:clientData/>
  </xdr:oneCellAnchor>
  <xdr:oneCellAnchor>
    <xdr:from>
      <xdr:col>3</xdr:col>
      <xdr:colOff>782677</xdr:colOff>
      <xdr:row>34</xdr:row>
      <xdr:rowOff>5047</xdr:rowOff>
    </xdr:from>
    <xdr:ext cx="3502269" cy="468013"/>
    <xdr:sp macro="" textlink="">
      <xdr:nvSpPr>
        <xdr:cNvPr id="10" name="TextBox 9">
          <a:extLst>
            <a:ext uri="{FF2B5EF4-FFF2-40B4-BE49-F238E27FC236}">
              <a16:creationId xmlns:a16="http://schemas.microsoft.com/office/drawing/2014/main" id="{886812D5-1188-4E70-D052-7F103F614EFD}"/>
            </a:ext>
          </a:extLst>
        </xdr:cNvPr>
        <xdr:cNvSpPr txBox="1"/>
      </xdr:nvSpPr>
      <xdr:spPr>
        <a:xfrm>
          <a:off x="2797744" y="6575180"/>
          <a:ext cx="350226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a:t>Lap Time Progression</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146.207543171295" createdVersion="8" refreshedVersion="8" minRefreshableVersion="3" recordCount="285" xr:uid="{4EA7DB94-6D0B-4585-9BAE-8828CAA520AF}">
  <cacheSource type="worksheet">
    <worksheetSource name="RaceData"/>
  </cacheSource>
  <cacheFields count="15">
    <cacheField name="Driver_Code" numFmtId="0">
      <sharedItems count="5">
        <s v="VER"/>
        <s v="HAM"/>
        <s v="ALO"/>
        <s v="LEC"/>
        <s v="NOR"/>
      </sharedItems>
    </cacheField>
    <cacheField name="Driver_Name" numFmtId="0">
      <sharedItems/>
    </cacheField>
    <cacheField name="Team" numFmtId="0">
      <sharedItems/>
    </cacheField>
    <cacheField name="Car_Number" numFmtId="0">
      <sharedItems containsSemiMixedTypes="0" containsString="0" containsNumber="1" containsInteger="1" minValue="1" maxValue="44"/>
    </cacheField>
    <cacheField name="Lap" numFmtId="0">
      <sharedItems containsSemiMixedTypes="0" containsString="0" containsNumber="1" containsInteger="1" minValue="1" maxValue="57" count="5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sharedItems>
      <fieldGroup base="4">
        <rangePr startNum="1" endNum="57" groupInterval="19"/>
        <groupItems count="5">
          <s v="&lt;1"/>
          <s v="1-19"/>
          <s v="20-38"/>
          <s v="39-57"/>
          <s v="&gt;58"/>
        </groupItems>
      </fieldGroup>
    </cacheField>
    <cacheField name="Tyre_Compound" numFmtId="0">
      <sharedItems count="3">
        <s v="Soft"/>
        <s v="Medium"/>
        <s v="Hard"/>
      </sharedItems>
    </cacheField>
    <cacheField name="Lap_On_Tyre" numFmtId="0">
      <sharedItems containsSemiMixedTypes="0" containsString="0" containsNumber="1" containsInteger="1" minValue="1" maxValue="26"/>
    </cacheField>
    <cacheField name="Lap_Time_s" numFmtId="0">
      <sharedItems containsSemiMixedTypes="0" containsString="0" containsNumber="1" minValue="92.878" maxValue="117.303" count="274">
        <n v="97.846000000000004"/>
        <n v="99.305000000000007"/>
        <n v="97.816000000000003"/>
        <n v="97.481999999999999"/>
        <n v="99.748999999999995"/>
        <n v="92.878"/>
        <n v="94.840999999999994"/>
        <n v="93.537999999999997"/>
        <n v="94.069000000000003"/>
        <n v="95.34"/>
        <n v="92.974999999999994"/>
        <n v="94.82"/>
        <n v="93.89"/>
        <n v="94.034000000000006"/>
        <n v="95.399000000000001"/>
        <n v="93.180999999999997"/>
        <n v="95.076999999999998"/>
        <n v="94.179000000000002"/>
        <n v="93.731999999999999"/>
        <n v="95.221999999999994"/>
        <n v="93.210999999999999"/>
        <n v="95.254999999999995"/>
        <n v="93.792000000000002"/>
        <n v="93.832999999999998"/>
        <n v="95.623000000000005"/>
        <n v="93.174999999999997"/>
        <n v="95.301000000000002"/>
        <n v="94.146000000000001"/>
        <n v="94.108000000000004"/>
        <n v="95.605000000000004"/>
        <n v="93.512"/>
        <n v="95.269000000000005"/>
        <n v="94.28"/>
        <n v="94.188999999999993"/>
        <n v="95.430999999999997"/>
        <n v="93.402000000000001"/>
        <n v="95.513000000000005"/>
        <n v="94.007000000000005"/>
        <n v="94.366"/>
        <n v="95.59"/>
        <n v="93.299000000000007"/>
        <n v="95.117999999999995"/>
        <n v="94.492999999999995"/>
        <n v="94.742000000000004"/>
        <n v="96.046000000000006"/>
        <n v="93.337000000000003"/>
        <n v="95.635000000000005"/>
        <n v="94.495000000000005"/>
        <n v="94.7"/>
        <n v="95.808000000000007"/>
        <n v="93.703000000000003"/>
        <n v="94.545000000000002"/>
        <n v="94.525999999999996"/>
        <n v="95.625"/>
        <n v="102.21599999999999"/>
        <n v="103.759"/>
        <n v="102.967"/>
        <n v="103.21299999999999"/>
        <n v="104.639"/>
        <n v="102.221"/>
        <n v="103.895"/>
        <n v="103.134"/>
        <n v="103.176"/>
        <n v="104.741"/>
        <n v="93.813999999999993"/>
        <n v="95.664000000000001"/>
        <n v="94.900999999999996"/>
        <n v="94.811000000000007"/>
        <n v="96.063999999999993"/>
        <n v="94.287999999999997"/>
        <n v="95.468000000000004"/>
        <n v="94.881"/>
        <n v="95.215999999999994"/>
        <n v="96.221999999999994"/>
        <n v="94.057000000000002"/>
        <n v="95.924000000000007"/>
        <n v="113.515"/>
        <n v="95.231999999999999"/>
        <n v="96.298000000000002"/>
        <n v="94.039000000000001"/>
        <n v="95.938000000000002"/>
        <n v="95.751999999999995"/>
        <n v="95.421999999999997"/>
        <n v="96.528000000000006"/>
        <n v="113.928"/>
        <n v="95.5"/>
        <n v="95.783000000000001"/>
        <n v="95.346000000000004"/>
        <n v="96.215999999999994"/>
        <n v="93.826999999999998"/>
        <n v="95.650999999999996"/>
        <n v="96.004999999999995"/>
        <n v="95.195999999999998"/>
        <n v="96.584999999999994"/>
        <n v="94.284000000000006"/>
        <n v="96.025999999999996"/>
        <n v="96.269000000000005"/>
        <n v="116.83499999999999"/>
        <n v="96.417000000000002"/>
        <n v="93.98"/>
        <n v="95.816999999999993"/>
        <n v="96.412999999999997"/>
        <n v="94.878"/>
        <n v="96.55"/>
        <n v="93.962000000000003"/>
        <n v="114.747"/>
        <n v="96.293999999999997"/>
        <n v="95.146000000000001"/>
        <n v="96.239000000000004"/>
        <n v="94.085999999999999"/>
        <n v="95.947000000000003"/>
        <n v="95.988"/>
        <n v="95.222999999999999"/>
        <n v="96.578000000000003"/>
        <n v="94.555000000000007"/>
        <n v="96.091999999999999"/>
        <n v="96.31"/>
        <n v="95.212999999999994"/>
        <n v="96.507999999999996"/>
        <n v="94.606999999999999"/>
        <n v="96.03"/>
        <n v="96.575000000000003"/>
        <n v="95.384"/>
        <n v="116.69499999999999"/>
        <n v="94.331000000000003"/>
        <n v="95.995000000000005"/>
        <n v="96.039000000000001"/>
        <n v="95.049000000000007"/>
        <n v="93.974000000000004"/>
        <n v="94.45"/>
        <n v="95.98"/>
        <n v="96.602000000000004"/>
        <n v="95.447999999999993"/>
        <n v="94.182000000000002"/>
        <n v="94.522000000000006"/>
        <n v="96.277000000000001"/>
        <n v="96.593000000000004"/>
        <n v="95.356999999999999"/>
        <n v="94.459000000000003"/>
        <n v="94.305000000000007"/>
        <n v="95.847999999999999"/>
        <n v="96.421999999999997"/>
        <n v="95.722999999999999"/>
        <n v="94.271000000000001"/>
        <n v="94.694000000000003"/>
        <n v="96.015000000000001"/>
        <n v="96.486999999999995"/>
        <n v="95.796999999999997"/>
        <n v="94.350999999999999"/>
        <n v="96.286000000000001"/>
        <n v="96.686999999999998"/>
        <n v="95.882999999999996"/>
        <n v="94.388000000000005"/>
        <n v="94.492000000000004"/>
        <n v="96.521000000000001"/>
        <n v="96.753"/>
        <n v="95.566000000000003"/>
        <n v="94.623000000000005"/>
        <n v="94.697999999999993"/>
        <n v="96.632000000000005"/>
        <n v="95.656999999999996"/>
        <n v="94.81"/>
        <n v="95.105999999999995"/>
        <n v="96.173000000000002"/>
        <n v="96.63"/>
        <n v="95.602000000000004"/>
        <n v="94.531999999999996"/>
        <n v="95.087000000000003"/>
        <n v="96.236000000000004"/>
        <n v="96.536000000000001"/>
        <n v="95.77"/>
        <n v="94.873000000000005"/>
        <n v="94.846999999999994"/>
        <n v="96.427000000000007"/>
        <n v="96.704999999999998"/>
        <n v="95.834999999999994"/>
        <n v="95.108000000000004"/>
        <n v="94.861999999999995"/>
        <n v="96.388999999999996"/>
        <n v="96.772999999999996"/>
        <n v="96.001000000000005"/>
        <n v="94.858999999999995"/>
        <n v="95.391000000000005"/>
        <n v="96.415000000000006"/>
        <n v="96.682000000000002"/>
        <n v="117.303"/>
        <n v="95.272999999999996"/>
        <n v="96.626999999999995"/>
        <n v="97.043000000000006"/>
        <n v="96.253"/>
        <n v="95.35"/>
        <n v="116.181"/>
        <n v="96.361999999999995"/>
        <n v="96.513999999999996"/>
        <n v="95.894000000000005"/>
        <n v="115.202"/>
        <n v="94.933999999999997"/>
        <n v="96.450999999999993"/>
        <n v="96.712000000000003"/>
        <n v="96.445999999999998"/>
        <n v="96.563999999999993"/>
        <n v="94.921000000000006"/>
        <n v="96.346999999999994"/>
        <n v="115.78400000000001"/>
        <n v="96.244"/>
        <n v="96.442999999999998"/>
        <n v="95.492999999999995"/>
        <n v="96.653999999999996"/>
        <n v="95.200999999999993"/>
        <n v="96.492999999999995"/>
        <n v="115.31100000000001"/>
        <n v="95.046999999999997"/>
        <n v="96.768000000000001"/>
        <n v="95.436999999999998"/>
        <n v="94.662000000000006"/>
        <n v="95.238"/>
        <n v="96.295000000000002"/>
        <n v="96.488"/>
        <n v="95.284999999999997"/>
        <n v="95.019000000000005"/>
        <n v="94.89"/>
        <n v="96.197999999999993"/>
        <n v="96.7"/>
        <n v="95.614999999999995"/>
        <n v="94.844999999999999"/>
        <n v="95.26"/>
        <n v="96.397999999999996"/>
        <n v="96.531999999999996"/>
        <n v="95.366"/>
        <n v="95.072999999999993"/>
        <n v="95.177000000000007"/>
        <n v="96.376000000000005"/>
        <n v="96.866"/>
        <n v="95.123000000000005"/>
        <n v="96.236999999999995"/>
        <n v="96.629000000000005"/>
        <n v="95.248000000000005"/>
        <n v="95.179000000000002"/>
        <n v="95.113"/>
        <n v="96.302999999999997"/>
        <n v="96.54"/>
        <n v="95.694999999999993"/>
        <n v="95.441000000000003"/>
        <n v="95.331000000000003"/>
        <n v="96.257999999999996"/>
        <n v="96.876000000000005"/>
        <n v="95.494"/>
        <n v="95.448999999999998"/>
        <n v="95.409000000000006"/>
        <n v="96.403999999999996"/>
        <n v="96.853999999999999"/>
        <n v="95.563999999999993"/>
        <n v="95.034000000000006"/>
        <n v="95.204999999999998"/>
        <n v="96.349000000000004"/>
        <n v="96.881"/>
        <n v="95.397999999999996"/>
        <n v="95.162000000000006"/>
        <n v="95.319000000000003"/>
        <n v="96.596999999999994"/>
        <n v="95.33"/>
        <n v="95.242999999999995"/>
        <n v="95.814999999999998"/>
        <n v="96.734999999999999"/>
        <n v="95.837000000000003"/>
        <n v="95.16"/>
        <n v="95.86"/>
        <n v="96.608000000000004"/>
        <n v="97.195999999999998"/>
        <n v="95.385999999999996"/>
        <n v="95.721999999999994"/>
        <n v="95.87"/>
        <n v="96.501000000000005"/>
        <n v="97.093999999999994"/>
      </sharedItems>
    </cacheField>
    <cacheField name="S1_Time_s" numFmtId="0">
      <sharedItems containsSemiMixedTypes="0" containsString="0" containsNumber="1" minValue="28.783999999999999" maxValue="32.215000000000003"/>
    </cacheField>
    <cacheField name="S2_Time_s" numFmtId="0">
      <sharedItems containsSemiMixedTypes="0" containsString="0" containsNumber="1" minValue="37.953000000000003" maxValue="42.588000000000001"/>
    </cacheField>
    <cacheField name="S3_Time_s" numFmtId="0">
      <sharedItems containsSemiMixedTypes="0" containsString="0" containsNumber="1" minValue="25.957000000000001" maxValue="49.076000000000001"/>
    </cacheField>
    <cacheField name="Is_Pit_Lap" numFmtId="0">
      <sharedItems count="2">
        <s v="NO"/>
        <s v="YES"/>
      </sharedItems>
    </cacheField>
    <cacheField name="Pit_Stop_Duration_s" numFmtId="0">
      <sharedItems containsString="0" containsBlank="1" containsNumber="1" minValue="2.6" maxValue="3.8"/>
    </cacheField>
    <cacheField name="Gap_To_Leader_s" numFmtId="0">
      <sharedItems containsSemiMixedTypes="0" containsString="0" containsNumber="1" minValue="-2.8839999999999999" maxValue="77.471999999999994"/>
    </cacheField>
    <cacheField name="Sector_Check" numFmtId="0">
      <sharedItems/>
    </cacheField>
  </cacheFields>
  <extLst>
    <ext xmlns:x14="http://schemas.microsoft.com/office/spreadsheetml/2009/9/main" uri="{725AE2AE-9491-48be-B2B4-4EB974FC3084}">
      <x14:pivotCacheDefinition pivotCacheId="11039338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5">
  <r>
    <x v="0"/>
    <s v="Max Verstappen"/>
    <s v="Red Bull"/>
    <n v="1"/>
    <x v="0"/>
    <x v="0"/>
    <n v="1"/>
    <x v="0"/>
    <n v="30.370999999999999"/>
    <n v="40.201000000000001"/>
    <n v="27.274000000000001"/>
    <x v="0"/>
    <m/>
    <n v="0"/>
    <s v="OK"/>
  </r>
  <r>
    <x v="1"/>
    <s v="Lewis Hamilton"/>
    <s v="Mercedes"/>
    <n v="44"/>
    <x v="0"/>
    <x v="1"/>
    <n v="1"/>
    <x v="1"/>
    <n v="30.867999999999999"/>
    <n v="40.572000000000003"/>
    <n v="27.864000000000001"/>
    <x v="0"/>
    <m/>
    <n v="0"/>
    <s v="OK"/>
  </r>
  <r>
    <x v="2"/>
    <s v="Fernando Alonso"/>
    <s v="Aston Martin"/>
    <n v="14"/>
    <x v="0"/>
    <x v="0"/>
    <n v="1"/>
    <x v="2"/>
    <n v="30.419"/>
    <n v="40.075000000000003"/>
    <n v="27.321999999999999"/>
    <x v="0"/>
    <m/>
    <n v="0"/>
    <s v="OK"/>
  </r>
  <r>
    <x v="3"/>
    <s v="Charles Leclerc"/>
    <s v="Ferrari"/>
    <n v="16"/>
    <x v="0"/>
    <x v="0"/>
    <n v="1"/>
    <x v="3"/>
    <n v="30.166"/>
    <n v="40.018999999999998"/>
    <n v="27.297999999999998"/>
    <x v="0"/>
    <m/>
    <n v="0"/>
    <s v="OK"/>
  </r>
  <r>
    <x v="4"/>
    <s v="Lando Norris"/>
    <s v="McLaren"/>
    <n v="4"/>
    <x v="0"/>
    <x v="1"/>
    <n v="1"/>
    <x v="4"/>
    <n v="30.783999999999999"/>
    <n v="40.863999999999997"/>
    <n v="28.100999999999999"/>
    <x v="0"/>
    <m/>
    <n v="0"/>
    <s v="OK"/>
  </r>
  <r>
    <x v="0"/>
    <s v="Max Verstappen"/>
    <s v="Red Bull"/>
    <n v="1"/>
    <x v="1"/>
    <x v="0"/>
    <n v="2"/>
    <x v="5"/>
    <n v="28.783999999999999"/>
    <n v="38.034999999999997"/>
    <n v="26.059000000000001"/>
    <x v="0"/>
    <m/>
    <n v="0"/>
    <s v="OK"/>
  </r>
  <r>
    <x v="1"/>
    <s v="Lewis Hamilton"/>
    <s v="Mercedes"/>
    <n v="44"/>
    <x v="1"/>
    <x v="1"/>
    <n v="2"/>
    <x v="6"/>
    <n v="29.427"/>
    <n v="38.898000000000003"/>
    <n v="26.515999999999998"/>
    <x v="0"/>
    <m/>
    <n v="3.4209999999999998"/>
    <s v="OK"/>
  </r>
  <r>
    <x v="2"/>
    <s v="Fernando Alonso"/>
    <s v="Aston Martin"/>
    <n v="14"/>
    <x v="1"/>
    <x v="0"/>
    <n v="2"/>
    <x v="7"/>
    <n v="29.021000000000001"/>
    <n v="38.472999999999999"/>
    <n v="26.045000000000002"/>
    <x v="0"/>
    <m/>
    <n v="0.63"/>
    <s v="OK"/>
  </r>
  <r>
    <x v="3"/>
    <s v="Charles Leclerc"/>
    <s v="Ferrari"/>
    <n v="16"/>
    <x v="1"/>
    <x v="0"/>
    <n v="2"/>
    <x v="8"/>
    <n v="29.207000000000001"/>
    <n v="38.561999999999998"/>
    <n v="26.3"/>
    <x v="0"/>
    <m/>
    <n v="0.82699999999999996"/>
    <s v="OK"/>
  </r>
  <r>
    <x v="4"/>
    <s v="Lando Norris"/>
    <s v="McLaren"/>
    <n v="4"/>
    <x v="1"/>
    <x v="1"/>
    <n v="2"/>
    <x v="9"/>
    <n v="29.587"/>
    <n v="39.131999999999998"/>
    <n v="26.620999999999999"/>
    <x v="0"/>
    <m/>
    <n v="4.3650000000000002"/>
    <s v="OK"/>
  </r>
  <r>
    <x v="0"/>
    <s v="Max Verstappen"/>
    <s v="Red Bull"/>
    <n v="1"/>
    <x v="2"/>
    <x v="0"/>
    <n v="3"/>
    <x v="10"/>
    <n v="28.896000000000001"/>
    <n v="38.057000000000002"/>
    <n v="26.021999999999998"/>
    <x v="0"/>
    <m/>
    <n v="0"/>
    <s v="OK"/>
  </r>
  <r>
    <x v="1"/>
    <s v="Lewis Hamilton"/>
    <s v="Mercedes"/>
    <n v="44"/>
    <x v="2"/>
    <x v="1"/>
    <n v="3"/>
    <x v="11"/>
    <n v="29.291"/>
    <n v="38.927"/>
    <n v="26.600999999999999"/>
    <x v="0"/>
    <m/>
    <n v="5.2670000000000003"/>
    <s v="OK"/>
  </r>
  <r>
    <x v="2"/>
    <s v="Fernando Alonso"/>
    <s v="Aston Martin"/>
    <n v="14"/>
    <x v="2"/>
    <x v="0"/>
    <n v="3"/>
    <x v="12"/>
    <n v="29.128"/>
    <n v="38.576000000000001"/>
    <n v="26.186"/>
    <x v="0"/>
    <m/>
    <n v="1.5449999999999999"/>
    <s v="OK"/>
  </r>
  <r>
    <x v="3"/>
    <s v="Charles Leclerc"/>
    <s v="Ferrari"/>
    <n v="16"/>
    <x v="2"/>
    <x v="0"/>
    <n v="3"/>
    <x v="13"/>
    <n v="29.253"/>
    <n v="38.646999999999998"/>
    <n v="26.134"/>
    <x v="0"/>
    <m/>
    <n v="1.8859999999999999"/>
    <s v="OK"/>
  </r>
  <r>
    <x v="4"/>
    <s v="Lando Norris"/>
    <s v="McLaren"/>
    <n v="4"/>
    <x v="2"/>
    <x v="1"/>
    <n v="3"/>
    <x v="14"/>
    <n v="29.486000000000001"/>
    <n v="39.237000000000002"/>
    <n v="26.675000000000001"/>
    <x v="0"/>
    <m/>
    <n v="6.7889999999999997"/>
    <s v="OK"/>
  </r>
  <r>
    <x v="0"/>
    <s v="Max Verstappen"/>
    <s v="Red Bull"/>
    <n v="1"/>
    <x v="3"/>
    <x v="0"/>
    <n v="4"/>
    <x v="15"/>
    <n v="28.831"/>
    <n v="38.098999999999997"/>
    <n v="26.251000000000001"/>
    <x v="0"/>
    <m/>
    <n v="0"/>
    <s v="OK"/>
  </r>
  <r>
    <x v="1"/>
    <s v="Lewis Hamilton"/>
    <s v="Mercedes"/>
    <n v="44"/>
    <x v="3"/>
    <x v="1"/>
    <n v="4"/>
    <x v="16"/>
    <n v="29.399000000000001"/>
    <n v="38.927"/>
    <n v="26.751000000000001"/>
    <x v="0"/>
    <m/>
    <n v="7.1630000000000003"/>
    <s v="OK"/>
  </r>
  <r>
    <x v="2"/>
    <s v="Fernando Alonso"/>
    <s v="Aston Martin"/>
    <n v="14"/>
    <x v="3"/>
    <x v="0"/>
    <n v="4"/>
    <x v="17"/>
    <n v="29.172000000000001"/>
    <n v="38.395000000000003"/>
    <n v="26.611999999999998"/>
    <x v="0"/>
    <m/>
    <n v="2.544"/>
    <s v="OK"/>
  </r>
  <r>
    <x v="3"/>
    <s v="Charles Leclerc"/>
    <s v="Ferrari"/>
    <n v="16"/>
    <x v="3"/>
    <x v="0"/>
    <n v="4"/>
    <x v="18"/>
    <n v="29.231999999999999"/>
    <n v="38.456000000000003"/>
    <n v="26.044"/>
    <x v="0"/>
    <m/>
    <n v="2.4369999999999998"/>
    <s v="OK"/>
  </r>
  <r>
    <x v="4"/>
    <s v="Lando Norris"/>
    <s v="McLaren"/>
    <n v="4"/>
    <x v="3"/>
    <x v="1"/>
    <n v="4"/>
    <x v="19"/>
    <n v="29.437999999999999"/>
    <n v="39.113999999999997"/>
    <n v="26.67"/>
    <x v="0"/>
    <m/>
    <n v="8.8309999999999995"/>
    <s v="OK"/>
  </r>
  <r>
    <x v="0"/>
    <s v="Max Verstappen"/>
    <s v="Red Bull"/>
    <n v="1"/>
    <x v="4"/>
    <x v="0"/>
    <n v="5"/>
    <x v="20"/>
    <n v="28.925999999999998"/>
    <n v="38.131999999999998"/>
    <n v="26.152999999999999"/>
    <x v="0"/>
    <m/>
    <n v="0"/>
    <s v="OK"/>
  </r>
  <r>
    <x v="1"/>
    <s v="Lewis Hamilton"/>
    <s v="Mercedes"/>
    <n v="44"/>
    <x v="4"/>
    <x v="1"/>
    <n v="5"/>
    <x v="21"/>
    <n v="29.576000000000001"/>
    <n v="39.064999999999998"/>
    <n v="26.614999999999998"/>
    <x v="0"/>
    <m/>
    <n v="9.2070000000000007"/>
    <s v="OK"/>
  </r>
  <r>
    <x v="2"/>
    <s v="Fernando Alonso"/>
    <s v="Aston Martin"/>
    <n v="14"/>
    <x v="4"/>
    <x v="0"/>
    <n v="5"/>
    <x v="22"/>
    <n v="29.018000000000001"/>
    <n v="38.357999999999997"/>
    <n v="26.416"/>
    <x v="0"/>
    <m/>
    <n v="3.125"/>
    <s v="OK"/>
  </r>
  <r>
    <x v="3"/>
    <s v="Charles Leclerc"/>
    <s v="Ferrari"/>
    <n v="16"/>
    <x v="4"/>
    <x v="0"/>
    <n v="5"/>
    <x v="23"/>
    <n v="29.31"/>
    <n v="38.566000000000003"/>
    <n v="25.957000000000001"/>
    <x v="0"/>
    <m/>
    <n v="3.06"/>
    <s v="OK"/>
  </r>
  <r>
    <x v="4"/>
    <s v="Lando Norris"/>
    <s v="McLaren"/>
    <n v="4"/>
    <x v="4"/>
    <x v="1"/>
    <n v="5"/>
    <x v="24"/>
    <n v="29.463999999999999"/>
    <n v="39.210999999999999"/>
    <n v="26.948"/>
    <x v="0"/>
    <m/>
    <n v="11.243"/>
    <s v="OK"/>
  </r>
  <r>
    <x v="0"/>
    <s v="Max Verstappen"/>
    <s v="Red Bull"/>
    <n v="1"/>
    <x v="5"/>
    <x v="0"/>
    <n v="6"/>
    <x v="25"/>
    <n v="28.866"/>
    <n v="38.183999999999997"/>
    <n v="26.125"/>
    <x v="0"/>
    <m/>
    <n v="0"/>
    <s v="OK"/>
  </r>
  <r>
    <x v="1"/>
    <s v="Lewis Hamilton"/>
    <s v="Mercedes"/>
    <n v="44"/>
    <x v="5"/>
    <x v="1"/>
    <n v="6"/>
    <x v="26"/>
    <n v="29.516999999999999"/>
    <n v="38.973999999999997"/>
    <n v="26.81"/>
    <x v="0"/>
    <m/>
    <n v="11.334"/>
    <s v="OK"/>
  </r>
  <r>
    <x v="2"/>
    <s v="Fernando Alonso"/>
    <s v="Aston Martin"/>
    <n v="14"/>
    <x v="5"/>
    <x v="0"/>
    <n v="6"/>
    <x v="27"/>
    <n v="29.146999999999998"/>
    <n v="38.529000000000003"/>
    <n v="26.47"/>
    <x v="0"/>
    <m/>
    <n v="4.0960000000000001"/>
    <s v="OK"/>
  </r>
  <r>
    <x v="3"/>
    <s v="Charles Leclerc"/>
    <s v="Ferrari"/>
    <n v="16"/>
    <x v="5"/>
    <x v="0"/>
    <n v="6"/>
    <x v="28"/>
    <n v="29.155000000000001"/>
    <n v="38.469000000000001"/>
    <n v="26.484999999999999"/>
    <x v="0"/>
    <m/>
    <n v="3.9929999999999999"/>
    <s v="OK"/>
  </r>
  <r>
    <x v="4"/>
    <s v="Lando Norris"/>
    <s v="McLaren"/>
    <n v="4"/>
    <x v="5"/>
    <x v="1"/>
    <n v="6"/>
    <x v="29"/>
    <n v="29.492999999999999"/>
    <n v="39.262"/>
    <n v="26.85"/>
    <x v="0"/>
    <m/>
    <n v="13.673"/>
    <s v="OK"/>
  </r>
  <r>
    <x v="0"/>
    <s v="Max Verstappen"/>
    <s v="Red Bull"/>
    <n v="1"/>
    <x v="6"/>
    <x v="0"/>
    <n v="7"/>
    <x v="30"/>
    <n v="28.962"/>
    <n v="38.021000000000001"/>
    <n v="26.529"/>
    <x v="0"/>
    <m/>
    <n v="0"/>
    <s v="OK"/>
  </r>
  <r>
    <x v="1"/>
    <s v="Lewis Hamilton"/>
    <s v="Mercedes"/>
    <n v="44"/>
    <x v="6"/>
    <x v="1"/>
    <n v="7"/>
    <x v="31"/>
    <n v="29.401"/>
    <n v="38.994999999999997"/>
    <n v="26.873000000000001"/>
    <x v="0"/>
    <m/>
    <n v="13.090999999999999"/>
    <s v="OK"/>
  </r>
  <r>
    <x v="2"/>
    <s v="Fernando Alonso"/>
    <s v="Aston Martin"/>
    <n v="14"/>
    <x v="6"/>
    <x v="0"/>
    <n v="7"/>
    <x v="32"/>
    <n v="29.259"/>
    <n v="38.56"/>
    <n v="26.460999999999999"/>
    <x v="0"/>
    <m/>
    <n v="4.8639999999999999"/>
    <s v="OK"/>
  </r>
  <r>
    <x v="3"/>
    <s v="Charles Leclerc"/>
    <s v="Ferrari"/>
    <n v="16"/>
    <x v="6"/>
    <x v="0"/>
    <n v="7"/>
    <x v="33"/>
    <n v="29.157"/>
    <n v="38.523000000000003"/>
    <n v="26.507999999999999"/>
    <x v="0"/>
    <m/>
    <n v="4.6710000000000003"/>
    <s v="OK"/>
  </r>
  <r>
    <x v="4"/>
    <s v="Lando Norris"/>
    <s v="McLaren"/>
    <n v="4"/>
    <x v="6"/>
    <x v="1"/>
    <n v="7"/>
    <x v="34"/>
    <n v="29.420999999999999"/>
    <n v="39.25"/>
    <n v="26.76"/>
    <x v="0"/>
    <m/>
    <n v="15.593"/>
    <s v="OK"/>
  </r>
  <r>
    <x v="0"/>
    <s v="Max Verstappen"/>
    <s v="Red Bull"/>
    <n v="1"/>
    <x v="7"/>
    <x v="0"/>
    <n v="8"/>
    <x v="35"/>
    <n v="29.004000000000001"/>
    <n v="37.953000000000003"/>
    <n v="26.445"/>
    <x v="0"/>
    <m/>
    <n v="0"/>
    <s v="OK"/>
  </r>
  <r>
    <x v="1"/>
    <s v="Lewis Hamilton"/>
    <s v="Mercedes"/>
    <n v="44"/>
    <x v="7"/>
    <x v="1"/>
    <n v="8"/>
    <x v="36"/>
    <n v="29.428999999999998"/>
    <n v="38.802"/>
    <n v="27.282"/>
    <x v="0"/>
    <m/>
    <n v="15.202"/>
    <s v="OK"/>
  </r>
  <r>
    <x v="2"/>
    <s v="Fernando Alonso"/>
    <s v="Aston Martin"/>
    <n v="14"/>
    <x v="7"/>
    <x v="0"/>
    <n v="8"/>
    <x v="37"/>
    <n v="29.038"/>
    <n v="38.423000000000002"/>
    <n v="26.547000000000001"/>
    <x v="0"/>
    <m/>
    <n v="5.4690000000000003"/>
    <s v="OK"/>
  </r>
  <r>
    <x v="3"/>
    <s v="Charles Leclerc"/>
    <s v="Ferrari"/>
    <n v="16"/>
    <x v="7"/>
    <x v="0"/>
    <n v="8"/>
    <x v="38"/>
    <n v="29.158999999999999"/>
    <n v="38.384"/>
    <n v="26.823"/>
    <x v="0"/>
    <m/>
    <n v="5.6349999999999998"/>
    <s v="OK"/>
  </r>
  <r>
    <x v="4"/>
    <s v="Lando Norris"/>
    <s v="McLaren"/>
    <n v="4"/>
    <x v="7"/>
    <x v="1"/>
    <n v="8"/>
    <x v="39"/>
    <n v="29.63"/>
    <n v="39.274000000000001"/>
    <n v="26.687000000000001"/>
    <x v="0"/>
    <m/>
    <n v="17.782"/>
    <s v="OK"/>
  </r>
  <r>
    <x v="0"/>
    <s v="Max Verstappen"/>
    <s v="Red Bull"/>
    <n v="1"/>
    <x v="8"/>
    <x v="0"/>
    <n v="9"/>
    <x v="40"/>
    <n v="28.802"/>
    <n v="38.17"/>
    <n v="26.327999999999999"/>
    <x v="0"/>
    <m/>
    <n v="0"/>
    <s v="OK"/>
  </r>
  <r>
    <x v="1"/>
    <s v="Lewis Hamilton"/>
    <s v="Mercedes"/>
    <n v="44"/>
    <x v="8"/>
    <x v="1"/>
    <n v="9"/>
    <x v="41"/>
    <n v="29.308"/>
    <n v="39.015000000000001"/>
    <n v="26.794"/>
    <x v="0"/>
    <m/>
    <n v="17.02"/>
    <s v="OK"/>
  </r>
  <r>
    <x v="2"/>
    <s v="Fernando Alonso"/>
    <s v="Aston Martin"/>
    <n v="14"/>
    <x v="8"/>
    <x v="0"/>
    <n v="9"/>
    <x v="42"/>
    <n v="29.157"/>
    <n v="38.552999999999997"/>
    <n v="26.783000000000001"/>
    <x v="0"/>
    <m/>
    <n v="6.6630000000000003"/>
    <s v="OK"/>
  </r>
  <r>
    <x v="3"/>
    <s v="Charles Leclerc"/>
    <s v="Ferrari"/>
    <n v="16"/>
    <x v="8"/>
    <x v="0"/>
    <n v="9"/>
    <x v="43"/>
    <n v="29.225999999999999"/>
    <n v="38.515000000000001"/>
    <n v="27.001000000000001"/>
    <x v="0"/>
    <m/>
    <n v="7.0780000000000003"/>
    <s v="OK"/>
  </r>
  <r>
    <x v="4"/>
    <s v="Lando Norris"/>
    <s v="McLaren"/>
    <n v="4"/>
    <x v="8"/>
    <x v="1"/>
    <n v="9"/>
    <x v="44"/>
    <n v="29.663"/>
    <n v="39.152999999999999"/>
    <n v="27.23"/>
    <x v="0"/>
    <m/>
    <n v="20.527999999999999"/>
    <s v="OK"/>
  </r>
  <r>
    <x v="0"/>
    <s v="Max Verstappen"/>
    <s v="Red Bull"/>
    <n v="1"/>
    <x v="9"/>
    <x v="0"/>
    <n v="10"/>
    <x v="45"/>
    <n v="28.989000000000001"/>
    <n v="38.088999999999999"/>
    <n v="26.26"/>
    <x v="0"/>
    <m/>
    <n v="0"/>
    <s v="OK"/>
  </r>
  <r>
    <x v="1"/>
    <s v="Lewis Hamilton"/>
    <s v="Mercedes"/>
    <n v="44"/>
    <x v="9"/>
    <x v="1"/>
    <n v="10"/>
    <x v="46"/>
    <n v="29.395"/>
    <n v="39.073999999999998"/>
    <n v="27.164999999999999"/>
    <x v="0"/>
    <m/>
    <n v="19.317"/>
    <s v="OK"/>
  </r>
  <r>
    <x v="2"/>
    <s v="Fernando Alonso"/>
    <s v="Aston Martin"/>
    <n v="14"/>
    <x v="9"/>
    <x v="0"/>
    <n v="10"/>
    <x v="47"/>
    <n v="29.206"/>
    <n v="38.622"/>
    <n v="26.667000000000002"/>
    <x v="0"/>
    <m/>
    <n v="7.82"/>
    <s v="OK"/>
  </r>
  <r>
    <x v="3"/>
    <s v="Charles Leclerc"/>
    <s v="Ferrari"/>
    <n v="16"/>
    <x v="9"/>
    <x v="0"/>
    <n v="10"/>
    <x v="48"/>
    <n v="29.178999999999998"/>
    <n v="38.472999999999999"/>
    <n v="27.048999999999999"/>
    <x v="0"/>
    <m/>
    <n v="8.4410000000000007"/>
    <s v="OK"/>
  </r>
  <r>
    <x v="4"/>
    <s v="Lando Norris"/>
    <s v="McLaren"/>
    <n v="4"/>
    <x v="9"/>
    <x v="1"/>
    <n v="10"/>
    <x v="49"/>
    <n v="29.489000000000001"/>
    <n v="39.100999999999999"/>
    <n v="27.216999999999999"/>
    <x v="0"/>
    <m/>
    <n v="22.998000000000001"/>
    <s v="OK"/>
  </r>
  <r>
    <x v="0"/>
    <s v="Max Verstappen"/>
    <s v="Red Bull"/>
    <n v="1"/>
    <x v="10"/>
    <x v="0"/>
    <n v="11"/>
    <x v="50"/>
    <n v="29.026"/>
    <n v="38.185000000000002"/>
    <n v="26.491"/>
    <x v="0"/>
    <m/>
    <n v="0"/>
    <s v="OK"/>
  </r>
  <r>
    <x v="1"/>
    <s v="Lewis Hamilton"/>
    <s v="Mercedes"/>
    <n v="44"/>
    <x v="10"/>
    <x v="1"/>
    <n v="11"/>
    <x v="9"/>
    <n v="29.32"/>
    <n v="39.008000000000003"/>
    <n v="27.013000000000002"/>
    <x v="0"/>
    <m/>
    <n v="20.954000000000001"/>
    <s v="OK"/>
  </r>
  <r>
    <x v="2"/>
    <s v="Fernando Alonso"/>
    <s v="Aston Martin"/>
    <n v="14"/>
    <x v="10"/>
    <x v="0"/>
    <n v="11"/>
    <x v="51"/>
    <n v="29.199000000000002"/>
    <n v="38.386000000000003"/>
    <n v="26.959"/>
    <x v="0"/>
    <m/>
    <n v="8.6620000000000008"/>
    <s v="OK"/>
  </r>
  <r>
    <x v="3"/>
    <s v="Charles Leclerc"/>
    <s v="Ferrari"/>
    <n v="16"/>
    <x v="10"/>
    <x v="0"/>
    <n v="11"/>
    <x v="52"/>
    <n v="29.184999999999999"/>
    <n v="38.661000000000001"/>
    <n v="26.68"/>
    <x v="0"/>
    <m/>
    <n v="9.2639999999999993"/>
    <s v="OK"/>
  </r>
  <r>
    <x v="4"/>
    <s v="Lando Norris"/>
    <s v="McLaren"/>
    <n v="4"/>
    <x v="10"/>
    <x v="1"/>
    <n v="11"/>
    <x v="53"/>
    <n v="29.594999999999999"/>
    <n v="39.142000000000003"/>
    <n v="26.888000000000002"/>
    <x v="0"/>
    <m/>
    <n v="24.92"/>
    <s v="OK"/>
  </r>
  <r>
    <x v="0"/>
    <s v="Max Verstappen"/>
    <s v="Red Bull"/>
    <n v="1"/>
    <x v="11"/>
    <x v="0"/>
    <n v="12"/>
    <x v="54"/>
    <n v="31.475000000000001"/>
    <n v="41.448"/>
    <n v="29.294"/>
    <x v="0"/>
    <m/>
    <n v="0"/>
    <s v="OK"/>
  </r>
  <r>
    <x v="1"/>
    <s v="Lewis Hamilton"/>
    <s v="Mercedes"/>
    <n v="44"/>
    <x v="11"/>
    <x v="1"/>
    <n v="12"/>
    <x v="55"/>
    <n v="32.039000000000001"/>
    <n v="42.194000000000003"/>
    <n v="29.526"/>
    <x v="0"/>
    <m/>
    <n v="22.497"/>
    <s v="OK"/>
  </r>
  <r>
    <x v="2"/>
    <s v="Fernando Alonso"/>
    <s v="Aston Martin"/>
    <n v="14"/>
    <x v="11"/>
    <x v="0"/>
    <n v="12"/>
    <x v="56"/>
    <n v="31.841999999999999"/>
    <n v="41.978999999999999"/>
    <n v="29.146000000000001"/>
    <x v="0"/>
    <m/>
    <n v="9.4130000000000003"/>
    <s v="OK"/>
  </r>
  <r>
    <x v="3"/>
    <s v="Charles Leclerc"/>
    <s v="Ferrari"/>
    <n v="16"/>
    <x v="11"/>
    <x v="0"/>
    <n v="12"/>
    <x v="57"/>
    <n v="31.713999999999999"/>
    <n v="41.872999999999998"/>
    <n v="29.626000000000001"/>
    <x v="0"/>
    <m/>
    <n v="10.260999999999999"/>
    <s v="OK"/>
  </r>
  <r>
    <x v="4"/>
    <s v="Lando Norris"/>
    <s v="McLaren"/>
    <n v="4"/>
    <x v="11"/>
    <x v="1"/>
    <n v="12"/>
    <x v="58"/>
    <n v="32.215000000000003"/>
    <n v="42.445"/>
    <n v="29.978999999999999"/>
    <x v="0"/>
    <m/>
    <n v="27.343"/>
    <s v="OK"/>
  </r>
  <r>
    <x v="0"/>
    <s v="Max Verstappen"/>
    <s v="Red Bull"/>
    <n v="1"/>
    <x v="12"/>
    <x v="0"/>
    <n v="13"/>
    <x v="59"/>
    <n v="31.454000000000001"/>
    <n v="41.533999999999999"/>
    <n v="29.231999999999999"/>
    <x v="0"/>
    <m/>
    <n v="0"/>
    <s v="OK"/>
  </r>
  <r>
    <x v="1"/>
    <s v="Lewis Hamilton"/>
    <s v="Mercedes"/>
    <n v="44"/>
    <x v="12"/>
    <x v="1"/>
    <n v="13"/>
    <x v="60"/>
    <n v="32.128999999999998"/>
    <n v="42.448"/>
    <n v="29.318000000000001"/>
    <x v="0"/>
    <m/>
    <n v="24.170999999999999"/>
    <s v="OK"/>
  </r>
  <r>
    <x v="2"/>
    <s v="Fernando Alonso"/>
    <s v="Aston Martin"/>
    <n v="14"/>
    <x v="12"/>
    <x v="0"/>
    <n v="13"/>
    <x v="61"/>
    <n v="31.733000000000001"/>
    <n v="41.985999999999997"/>
    <n v="29.414999999999999"/>
    <x v="0"/>
    <m/>
    <n v="10.326000000000001"/>
    <s v="OK"/>
  </r>
  <r>
    <x v="3"/>
    <s v="Charles Leclerc"/>
    <s v="Ferrari"/>
    <n v="16"/>
    <x v="12"/>
    <x v="0"/>
    <n v="13"/>
    <x v="62"/>
    <n v="31.835000000000001"/>
    <n v="41.966999999999999"/>
    <n v="29.375"/>
    <x v="0"/>
    <m/>
    <n v="11.215999999999999"/>
    <s v="OK"/>
  </r>
  <r>
    <x v="4"/>
    <s v="Lando Norris"/>
    <s v="McLaren"/>
    <n v="4"/>
    <x v="12"/>
    <x v="1"/>
    <n v="13"/>
    <x v="63"/>
    <n v="32.203000000000003"/>
    <n v="42.588000000000001"/>
    <n v="29.949000000000002"/>
    <x v="0"/>
    <m/>
    <n v="29.863"/>
    <s v="OK"/>
  </r>
  <r>
    <x v="0"/>
    <s v="Max Verstappen"/>
    <s v="Red Bull"/>
    <n v="1"/>
    <x v="13"/>
    <x v="0"/>
    <n v="14"/>
    <x v="64"/>
    <n v="28.899000000000001"/>
    <n v="38.161999999999999"/>
    <n v="26.753"/>
    <x v="0"/>
    <m/>
    <n v="0"/>
    <s v="OK"/>
  </r>
  <r>
    <x v="1"/>
    <s v="Lewis Hamilton"/>
    <s v="Mercedes"/>
    <n v="44"/>
    <x v="13"/>
    <x v="1"/>
    <n v="14"/>
    <x v="65"/>
    <n v="29.434999999999999"/>
    <n v="38.783000000000001"/>
    <n v="27.446000000000002"/>
    <x v="0"/>
    <m/>
    <n v="26.021000000000001"/>
    <s v="OK"/>
  </r>
  <r>
    <x v="2"/>
    <s v="Fernando Alonso"/>
    <s v="Aston Martin"/>
    <n v="14"/>
    <x v="13"/>
    <x v="0"/>
    <n v="14"/>
    <x v="66"/>
    <n v="29.247"/>
    <n v="38.612000000000002"/>
    <n v="27.042000000000002"/>
    <x v="0"/>
    <m/>
    <n v="11.413"/>
    <s v="OK"/>
  </r>
  <r>
    <x v="3"/>
    <s v="Charles Leclerc"/>
    <s v="Ferrari"/>
    <n v="16"/>
    <x v="13"/>
    <x v="0"/>
    <n v="14"/>
    <x v="67"/>
    <n v="29.045000000000002"/>
    <n v="38.508000000000003"/>
    <n v="27.257000000000001"/>
    <x v="0"/>
    <m/>
    <n v="12.212999999999999"/>
    <s v="OK"/>
  </r>
  <r>
    <x v="4"/>
    <s v="Lando Norris"/>
    <s v="McLaren"/>
    <n v="4"/>
    <x v="13"/>
    <x v="1"/>
    <n v="14"/>
    <x v="68"/>
    <n v="29.457000000000001"/>
    <n v="39.244"/>
    <n v="27.361999999999998"/>
    <x v="0"/>
    <m/>
    <n v="32.113"/>
    <s v="OK"/>
  </r>
  <r>
    <x v="0"/>
    <s v="Max Verstappen"/>
    <s v="Red Bull"/>
    <n v="1"/>
    <x v="14"/>
    <x v="0"/>
    <n v="15"/>
    <x v="69"/>
    <n v="28.911000000000001"/>
    <n v="38.042000000000002"/>
    <n v="27.335000000000001"/>
    <x v="0"/>
    <m/>
    <n v="0"/>
    <s v="OK"/>
  </r>
  <r>
    <x v="1"/>
    <s v="Lewis Hamilton"/>
    <s v="Mercedes"/>
    <n v="44"/>
    <x v="14"/>
    <x v="1"/>
    <n v="15"/>
    <x v="70"/>
    <n v="29.466000000000001"/>
    <n v="39.040999999999997"/>
    <n v="26.960999999999999"/>
    <x v="0"/>
    <m/>
    <n v="27.2"/>
    <s v="OK"/>
  </r>
  <r>
    <x v="2"/>
    <s v="Fernando Alonso"/>
    <s v="Aston Martin"/>
    <n v="14"/>
    <x v="14"/>
    <x v="0"/>
    <n v="15"/>
    <x v="71"/>
    <n v="29.239000000000001"/>
    <n v="38.347000000000001"/>
    <n v="27.295000000000002"/>
    <x v="0"/>
    <m/>
    <n v="12.006"/>
    <s v="OK"/>
  </r>
  <r>
    <x v="3"/>
    <s v="Charles Leclerc"/>
    <s v="Ferrari"/>
    <n v="16"/>
    <x v="14"/>
    <x v="0"/>
    <n v="15"/>
    <x v="72"/>
    <n v="29.119"/>
    <n v="38.537999999999997"/>
    <n v="27.56"/>
    <x v="0"/>
    <m/>
    <n v="13.141"/>
    <s v="OK"/>
  </r>
  <r>
    <x v="4"/>
    <s v="Lando Norris"/>
    <s v="McLaren"/>
    <n v="4"/>
    <x v="14"/>
    <x v="1"/>
    <n v="15"/>
    <x v="73"/>
    <n v="29.606000000000002"/>
    <n v="39.283000000000001"/>
    <n v="27.334"/>
    <x v="0"/>
    <m/>
    <n v="34.046999999999997"/>
    <s v="OK"/>
  </r>
  <r>
    <x v="0"/>
    <s v="Max Verstappen"/>
    <s v="Red Bull"/>
    <n v="1"/>
    <x v="15"/>
    <x v="0"/>
    <n v="16"/>
    <x v="74"/>
    <n v="29.044"/>
    <n v="38.087000000000003"/>
    <n v="26.925999999999998"/>
    <x v="0"/>
    <m/>
    <n v="0"/>
    <s v="OK"/>
  </r>
  <r>
    <x v="1"/>
    <s v="Lewis Hamilton"/>
    <s v="Mercedes"/>
    <n v="44"/>
    <x v="15"/>
    <x v="1"/>
    <n v="16"/>
    <x v="75"/>
    <n v="29.39"/>
    <n v="38.792999999999999"/>
    <n v="27.741"/>
    <x v="0"/>
    <m/>
    <n v="29.067"/>
    <s v="OK"/>
  </r>
  <r>
    <x v="2"/>
    <s v="Fernando Alonso"/>
    <s v="Aston Martin"/>
    <n v="14"/>
    <x v="15"/>
    <x v="0"/>
    <n v="16"/>
    <x v="76"/>
    <n v="29.03"/>
    <n v="38.491"/>
    <n v="45.994"/>
    <x v="1"/>
    <n v="2.7"/>
    <n v="31.463999999999999"/>
    <s v="OK"/>
  </r>
  <r>
    <x v="3"/>
    <s v="Charles Leclerc"/>
    <s v="Ferrari"/>
    <n v="16"/>
    <x v="15"/>
    <x v="0"/>
    <n v="16"/>
    <x v="77"/>
    <n v="29.117999999999999"/>
    <n v="38.640999999999998"/>
    <n v="27.472000000000001"/>
    <x v="0"/>
    <m/>
    <n v="14.315"/>
    <s v="OK"/>
  </r>
  <r>
    <x v="4"/>
    <s v="Lando Norris"/>
    <s v="McLaren"/>
    <n v="4"/>
    <x v="15"/>
    <x v="1"/>
    <n v="16"/>
    <x v="78"/>
    <n v="29.553999999999998"/>
    <n v="39.213999999999999"/>
    <n v="27.529"/>
    <x v="0"/>
    <m/>
    <n v="36.286999999999999"/>
    <s v="OK"/>
  </r>
  <r>
    <x v="0"/>
    <s v="Max Verstappen"/>
    <s v="Red Bull"/>
    <n v="1"/>
    <x v="16"/>
    <x v="0"/>
    <n v="17"/>
    <x v="79"/>
    <n v="28.867999999999999"/>
    <n v="38.223999999999997"/>
    <n v="26.946999999999999"/>
    <x v="0"/>
    <m/>
    <n v="0"/>
    <s v="OK"/>
  </r>
  <r>
    <x v="1"/>
    <s v="Lewis Hamilton"/>
    <s v="Mercedes"/>
    <n v="44"/>
    <x v="16"/>
    <x v="1"/>
    <n v="17"/>
    <x v="80"/>
    <n v="29.513999999999999"/>
    <n v="39.076999999999998"/>
    <n v="27.347000000000001"/>
    <x v="0"/>
    <m/>
    <n v="30.966000000000001"/>
    <s v="OK"/>
  </r>
  <r>
    <x v="2"/>
    <s v="Fernando Alonso"/>
    <s v="Aston Martin"/>
    <n v="14"/>
    <x v="16"/>
    <x v="2"/>
    <n v="1"/>
    <x v="81"/>
    <n v="29.643000000000001"/>
    <n v="39.357999999999997"/>
    <n v="26.751999999999999"/>
    <x v="0"/>
    <m/>
    <n v="33.177"/>
    <s v="OK"/>
  </r>
  <r>
    <x v="3"/>
    <s v="Charles Leclerc"/>
    <s v="Ferrari"/>
    <n v="16"/>
    <x v="16"/>
    <x v="0"/>
    <n v="17"/>
    <x v="82"/>
    <n v="29.198"/>
    <n v="38.414000000000001"/>
    <n v="27.81"/>
    <x v="0"/>
    <m/>
    <n v="15.698"/>
    <s v="OK"/>
  </r>
  <r>
    <x v="4"/>
    <s v="Lando Norris"/>
    <s v="McLaren"/>
    <n v="4"/>
    <x v="16"/>
    <x v="1"/>
    <n v="17"/>
    <x v="83"/>
    <n v="29.556999999999999"/>
    <n v="39.125999999999998"/>
    <n v="27.844999999999999"/>
    <x v="0"/>
    <m/>
    <n v="38.776000000000003"/>
    <s v="OK"/>
  </r>
  <r>
    <x v="0"/>
    <s v="Max Verstappen"/>
    <s v="Red Bull"/>
    <n v="1"/>
    <x v="17"/>
    <x v="0"/>
    <n v="18"/>
    <x v="84"/>
    <n v="28.991"/>
    <n v="38.14"/>
    <n v="46.796999999999997"/>
    <x v="1"/>
    <n v="2.6"/>
    <n v="0"/>
    <s v="OK"/>
  </r>
  <r>
    <x v="1"/>
    <s v="Lewis Hamilton"/>
    <s v="Mercedes"/>
    <n v="44"/>
    <x v="17"/>
    <x v="1"/>
    <n v="18"/>
    <x v="85"/>
    <n v="29.312999999999999"/>
    <n v="38.978000000000002"/>
    <n v="27.209"/>
    <x v="0"/>
    <m/>
    <n v="12.539"/>
    <s v="OK"/>
  </r>
  <r>
    <x v="2"/>
    <s v="Fernando Alonso"/>
    <s v="Aston Martin"/>
    <n v="14"/>
    <x v="17"/>
    <x v="2"/>
    <n v="2"/>
    <x v="86"/>
    <n v="29.667000000000002"/>
    <n v="39.281999999999996"/>
    <n v="26.834"/>
    <x v="0"/>
    <m/>
    <n v="15.032"/>
    <s v="OK"/>
  </r>
  <r>
    <x v="3"/>
    <s v="Charles Leclerc"/>
    <s v="Ferrari"/>
    <n v="16"/>
    <x v="17"/>
    <x v="0"/>
    <n v="18"/>
    <x v="87"/>
    <n v="29.280999999999999"/>
    <n v="38.466999999999999"/>
    <n v="27.597000000000001"/>
    <x v="0"/>
    <m/>
    <n v="-2.8839999999999999"/>
    <s v="OK"/>
  </r>
  <r>
    <x v="4"/>
    <s v="Lando Norris"/>
    <s v="McLaren"/>
    <n v="4"/>
    <x v="17"/>
    <x v="1"/>
    <n v="18"/>
    <x v="88"/>
    <n v="29.530999999999999"/>
    <n v="39.198"/>
    <n v="27.486999999999998"/>
    <x v="0"/>
    <m/>
    <n v="21.065000000000001"/>
    <s v="OK"/>
  </r>
  <r>
    <x v="0"/>
    <s v="Max Verstappen"/>
    <s v="Red Bull"/>
    <n v="1"/>
    <x v="18"/>
    <x v="1"/>
    <n v="1"/>
    <x v="89"/>
    <n v="29.331"/>
    <n v="38.472999999999999"/>
    <n v="26.024000000000001"/>
    <x v="0"/>
    <m/>
    <n v="0"/>
    <s v="OK"/>
  </r>
  <r>
    <x v="1"/>
    <s v="Lewis Hamilton"/>
    <s v="Mercedes"/>
    <n v="44"/>
    <x v="18"/>
    <x v="1"/>
    <n v="19"/>
    <x v="90"/>
    <n v="29.344999999999999"/>
    <n v="39.064999999999998"/>
    <n v="27.241"/>
    <x v="0"/>
    <m/>
    <n v="14.362"/>
    <s v="OK"/>
  </r>
  <r>
    <x v="2"/>
    <s v="Fernando Alonso"/>
    <s v="Aston Martin"/>
    <n v="14"/>
    <x v="18"/>
    <x v="2"/>
    <n v="3"/>
    <x v="91"/>
    <n v="29.66"/>
    <n v="39.283999999999999"/>
    <n v="27.061"/>
    <x v="0"/>
    <m/>
    <n v="17.209"/>
    <s v="OK"/>
  </r>
  <r>
    <x v="3"/>
    <s v="Charles Leclerc"/>
    <s v="Ferrari"/>
    <n v="16"/>
    <x v="18"/>
    <x v="0"/>
    <n v="19"/>
    <x v="92"/>
    <n v="29.297999999999998"/>
    <n v="38.549999999999997"/>
    <n v="27.347000000000001"/>
    <x v="0"/>
    <m/>
    <n v="-1.516"/>
    <s v="OK"/>
  </r>
  <r>
    <x v="4"/>
    <s v="Lando Norris"/>
    <s v="McLaren"/>
    <n v="4"/>
    <x v="18"/>
    <x v="1"/>
    <n v="19"/>
    <x v="93"/>
    <n v="29.449000000000002"/>
    <n v="39.03"/>
    <n v="28.106000000000002"/>
    <x v="0"/>
    <m/>
    <n v="23.823"/>
    <s v="OK"/>
  </r>
  <r>
    <x v="0"/>
    <s v="Max Verstappen"/>
    <s v="Red Bull"/>
    <n v="1"/>
    <x v="19"/>
    <x v="1"/>
    <n v="2"/>
    <x v="94"/>
    <n v="29.187999999999999"/>
    <n v="38.558"/>
    <n v="26.539000000000001"/>
    <x v="0"/>
    <m/>
    <n v="0"/>
    <s v="OK"/>
  </r>
  <r>
    <x v="1"/>
    <s v="Lewis Hamilton"/>
    <s v="Mercedes"/>
    <n v="44"/>
    <x v="19"/>
    <x v="1"/>
    <n v="20"/>
    <x v="95"/>
    <n v="29.317"/>
    <n v="38.981999999999999"/>
    <n v="27.727"/>
    <x v="0"/>
    <m/>
    <n v="16.103999999999999"/>
    <s v="OK"/>
  </r>
  <r>
    <x v="2"/>
    <s v="Fernando Alonso"/>
    <s v="Aston Martin"/>
    <n v="14"/>
    <x v="19"/>
    <x v="2"/>
    <n v="4"/>
    <x v="96"/>
    <n v="29.63"/>
    <n v="39.225000000000001"/>
    <n v="27.414000000000001"/>
    <x v="0"/>
    <m/>
    <n v="19.193999999999999"/>
    <s v="OK"/>
  </r>
  <r>
    <x v="3"/>
    <s v="Charles Leclerc"/>
    <s v="Ferrari"/>
    <n v="16"/>
    <x v="19"/>
    <x v="0"/>
    <n v="20"/>
    <x v="97"/>
    <n v="29.091000000000001"/>
    <n v="38.667999999999999"/>
    <n v="49.076000000000001"/>
    <x v="1"/>
    <n v="3"/>
    <n v="21.033999999999999"/>
    <s v="OK"/>
  </r>
  <r>
    <x v="4"/>
    <s v="Lando Norris"/>
    <s v="McLaren"/>
    <n v="4"/>
    <x v="19"/>
    <x v="1"/>
    <n v="20"/>
    <x v="98"/>
    <n v="29.649000000000001"/>
    <n v="39.018999999999998"/>
    <n v="27.748999999999999"/>
    <x v="0"/>
    <m/>
    <n v="25.954999999999998"/>
    <s v="OK"/>
  </r>
  <r>
    <x v="0"/>
    <s v="Max Verstappen"/>
    <s v="Red Bull"/>
    <n v="1"/>
    <x v="20"/>
    <x v="1"/>
    <n v="3"/>
    <x v="99"/>
    <n v="29.2"/>
    <n v="38.591000000000001"/>
    <n v="26.189"/>
    <x v="0"/>
    <m/>
    <n v="0"/>
    <s v="OK"/>
  </r>
  <r>
    <x v="1"/>
    <s v="Lewis Hamilton"/>
    <s v="Mercedes"/>
    <n v="44"/>
    <x v="20"/>
    <x v="1"/>
    <n v="21"/>
    <x v="100"/>
    <n v="29.445"/>
    <n v="39.061999999999998"/>
    <n v="27.31"/>
    <x v="0"/>
    <m/>
    <n v="17.940999999999999"/>
    <s v="OK"/>
  </r>
  <r>
    <x v="2"/>
    <s v="Fernando Alonso"/>
    <s v="Aston Martin"/>
    <n v="14"/>
    <x v="20"/>
    <x v="2"/>
    <n v="5"/>
    <x v="101"/>
    <n v="29.638000000000002"/>
    <n v="39.320999999999998"/>
    <n v="27.454000000000001"/>
    <x v="0"/>
    <m/>
    <n v="21.626999999999999"/>
    <s v="OK"/>
  </r>
  <r>
    <x v="3"/>
    <s v="Charles Leclerc"/>
    <s v="Ferrari"/>
    <n v="16"/>
    <x v="20"/>
    <x v="1"/>
    <n v="1"/>
    <x v="102"/>
    <n v="29.465"/>
    <n v="38.912999999999997"/>
    <n v="26.501000000000001"/>
    <x v="0"/>
    <m/>
    <n v="21.933"/>
    <s v="OK"/>
  </r>
  <r>
    <x v="4"/>
    <s v="Lando Norris"/>
    <s v="McLaren"/>
    <n v="4"/>
    <x v="20"/>
    <x v="1"/>
    <n v="21"/>
    <x v="103"/>
    <n v="29.704000000000001"/>
    <n v="39.091999999999999"/>
    <n v="27.754000000000001"/>
    <x v="0"/>
    <m/>
    <n v="28.524999999999999"/>
    <s v="OK"/>
  </r>
  <r>
    <x v="0"/>
    <s v="Max Verstappen"/>
    <s v="Red Bull"/>
    <n v="1"/>
    <x v="21"/>
    <x v="1"/>
    <n v="4"/>
    <x v="104"/>
    <n v="29.184000000000001"/>
    <n v="38.543999999999997"/>
    <n v="26.234999999999999"/>
    <x v="0"/>
    <m/>
    <n v="0"/>
    <s v="OK"/>
  </r>
  <r>
    <x v="1"/>
    <s v="Lewis Hamilton"/>
    <s v="Mercedes"/>
    <n v="44"/>
    <x v="21"/>
    <x v="1"/>
    <n v="22"/>
    <x v="105"/>
    <n v="29.372"/>
    <n v="38.993000000000002"/>
    <n v="46.383000000000003"/>
    <x v="1"/>
    <n v="3.1"/>
    <n v="38.725999999999999"/>
    <s v="OK"/>
  </r>
  <r>
    <x v="2"/>
    <s v="Fernando Alonso"/>
    <s v="Aston Martin"/>
    <n v="14"/>
    <x v="21"/>
    <x v="2"/>
    <n v="6"/>
    <x v="106"/>
    <n v="29.809000000000001"/>
    <n v="39.311999999999998"/>
    <n v="27.172999999999998"/>
    <x v="0"/>
    <m/>
    <n v="23.959"/>
    <s v="OK"/>
  </r>
  <r>
    <x v="3"/>
    <s v="Charles Leclerc"/>
    <s v="Ferrari"/>
    <n v="16"/>
    <x v="21"/>
    <x v="1"/>
    <n v="2"/>
    <x v="107"/>
    <n v="29.573"/>
    <n v="38.898000000000003"/>
    <n v="26.675000000000001"/>
    <x v="0"/>
    <m/>
    <n v="23.117000000000001"/>
    <s v="OK"/>
  </r>
  <r>
    <x v="4"/>
    <s v="Lando Norris"/>
    <s v="McLaren"/>
    <n v="4"/>
    <x v="21"/>
    <x v="1"/>
    <n v="22"/>
    <x v="108"/>
    <n v="29.486999999999998"/>
    <n v="39.244"/>
    <n v="27.507999999999999"/>
    <x v="0"/>
    <m/>
    <n v="30.802"/>
    <s v="OK"/>
  </r>
  <r>
    <x v="0"/>
    <s v="Max Verstappen"/>
    <s v="Red Bull"/>
    <n v="1"/>
    <x v="22"/>
    <x v="1"/>
    <n v="5"/>
    <x v="109"/>
    <n v="29.071000000000002"/>
    <n v="38.692"/>
    <n v="26.323"/>
    <x v="0"/>
    <m/>
    <n v="0"/>
    <s v="OK"/>
  </r>
  <r>
    <x v="1"/>
    <s v="Lewis Hamilton"/>
    <s v="Mercedes"/>
    <n v="44"/>
    <x v="22"/>
    <x v="2"/>
    <n v="1"/>
    <x v="110"/>
    <n v="29.831"/>
    <n v="39.412999999999997"/>
    <n v="26.704000000000001"/>
    <x v="0"/>
    <m/>
    <n v="40.587000000000003"/>
    <s v="OK"/>
  </r>
  <r>
    <x v="2"/>
    <s v="Fernando Alonso"/>
    <s v="Aston Martin"/>
    <n v="14"/>
    <x v="22"/>
    <x v="2"/>
    <n v="7"/>
    <x v="111"/>
    <n v="29.789000000000001"/>
    <n v="39.298999999999999"/>
    <n v="26.899000000000001"/>
    <x v="0"/>
    <m/>
    <n v="25.86"/>
    <s v="OK"/>
  </r>
  <r>
    <x v="3"/>
    <s v="Charles Leclerc"/>
    <s v="Ferrari"/>
    <n v="16"/>
    <x v="22"/>
    <x v="1"/>
    <n v="3"/>
    <x v="112"/>
    <n v="29.417000000000002"/>
    <n v="38.893999999999998"/>
    <n v="26.911999999999999"/>
    <x v="0"/>
    <m/>
    <n v="24.254000000000001"/>
    <s v="OK"/>
  </r>
  <r>
    <x v="4"/>
    <s v="Lando Norris"/>
    <s v="McLaren"/>
    <n v="4"/>
    <x v="22"/>
    <x v="1"/>
    <n v="23"/>
    <x v="113"/>
    <n v="29.641999999999999"/>
    <n v="39.182000000000002"/>
    <n v="27.754000000000001"/>
    <x v="0"/>
    <m/>
    <n v="33.293999999999997"/>
    <s v="OK"/>
  </r>
  <r>
    <x v="0"/>
    <s v="Max Verstappen"/>
    <s v="Red Bull"/>
    <n v="1"/>
    <x v="23"/>
    <x v="1"/>
    <n v="6"/>
    <x v="114"/>
    <n v="29.125"/>
    <n v="38.512999999999998"/>
    <n v="26.917000000000002"/>
    <x v="0"/>
    <m/>
    <n v="0"/>
    <s v="OK"/>
  </r>
  <r>
    <x v="1"/>
    <s v="Lewis Hamilton"/>
    <s v="Mercedes"/>
    <n v="44"/>
    <x v="23"/>
    <x v="2"/>
    <n v="2"/>
    <x v="115"/>
    <n v="29.821000000000002"/>
    <n v="39.304000000000002"/>
    <n v="26.966000000000001"/>
    <x v="0"/>
    <m/>
    <n v="42.124000000000002"/>
    <s v="OK"/>
  </r>
  <r>
    <x v="2"/>
    <s v="Fernando Alonso"/>
    <s v="Aston Martin"/>
    <n v="14"/>
    <x v="23"/>
    <x v="2"/>
    <n v="8"/>
    <x v="116"/>
    <n v="29.632000000000001"/>
    <n v="39.344000000000001"/>
    <n v="27.334"/>
    <x v="0"/>
    <m/>
    <n v="27.614999999999998"/>
    <s v="OK"/>
  </r>
  <r>
    <x v="3"/>
    <s v="Charles Leclerc"/>
    <s v="Ferrari"/>
    <n v="16"/>
    <x v="23"/>
    <x v="1"/>
    <n v="4"/>
    <x v="117"/>
    <n v="29.548999999999999"/>
    <n v="38.948"/>
    <n v="26.716000000000001"/>
    <x v="0"/>
    <m/>
    <n v="24.911999999999999"/>
    <s v="OK"/>
  </r>
  <r>
    <x v="4"/>
    <s v="Lando Norris"/>
    <s v="McLaren"/>
    <n v="4"/>
    <x v="23"/>
    <x v="1"/>
    <n v="24"/>
    <x v="118"/>
    <n v="29.635000000000002"/>
    <n v="39.088000000000001"/>
    <n v="27.785"/>
    <x v="0"/>
    <m/>
    <n v="35.247"/>
    <s v="OK"/>
  </r>
  <r>
    <x v="0"/>
    <s v="Max Verstappen"/>
    <s v="Red Bull"/>
    <n v="1"/>
    <x v="24"/>
    <x v="1"/>
    <n v="7"/>
    <x v="119"/>
    <n v="29.183"/>
    <n v="38.524999999999999"/>
    <n v="26.9"/>
    <x v="0"/>
    <m/>
    <n v="0"/>
    <s v="OK"/>
  </r>
  <r>
    <x v="1"/>
    <s v="Lewis Hamilton"/>
    <s v="Mercedes"/>
    <n v="44"/>
    <x v="24"/>
    <x v="2"/>
    <n v="3"/>
    <x v="120"/>
    <n v="29.771999999999998"/>
    <n v="39.253"/>
    <n v="27.004000000000001"/>
    <x v="0"/>
    <m/>
    <n v="43.545999999999999"/>
    <s v="OK"/>
  </r>
  <r>
    <x v="2"/>
    <s v="Fernando Alonso"/>
    <s v="Aston Martin"/>
    <n v="14"/>
    <x v="24"/>
    <x v="2"/>
    <n v="9"/>
    <x v="121"/>
    <n v="29.881"/>
    <n v="39.292999999999999"/>
    <n v="27.401"/>
    <x v="0"/>
    <m/>
    <n v="29.582000000000001"/>
    <s v="OK"/>
  </r>
  <r>
    <x v="3"/>
    <s v="Charles Leclerc"/>
    <s v="Ferrari"/>
    <n v="16"/>
    <x v="24"/>
    <x v="1"/>
    <n v="5"/>
    <x v="122"/>
    <n v="29.468"/>
    <n v="38.942999999999998"/>
    <n v="26.972999999999999"/>
    <x v="0"/>
    <m/>
    <n v="25.689"/>
    <s v="OK"/>
  </r>
  <r>
    <x v="4"/>
    <s v="Lando Norris"/>
    <s v="McLaren"/>
    <n v="4"/>
    <x v="24"/>
    <x v="1"/>
    <n v="25"/>
    <x v="123"/>
    <n v="29.617999999999999"/>
    <n v="39.225000000000001"/>
    <n v="47.851999999999997"/>
    <x v="1"/>
    <n v="3.8"/>
    <n v="57.334000000000003"/>
    <s v="OK"/>
  </r>
  <r>
    <x v="0"/>
    <s v="Max Verstappen"/>
    <s v="Red Bull"/>
    <n v="1"/>
    <x v="25"/>
    <x v="1"/>
    <n v="8"/>
    <x v="124"/>
    <n v="29.122"/>
    <n v="38.436999999999998"/>
    <n v="26.773"/>
    <x v="0"/>
    <m/>
    <n v="0"/>
    <s v="OK"/>
  </r>
  <r>
    <x v="1"/>
    <s v="Lewis Hamilton"/>
    <s v="Mercedes"/>
    <n v="44"/>
    <x v="25"/>
    <x v="2"/>
    <n v="4"/>
    <x v="125"/>
    <n v="29.84"/>
    <n v="39.293999999999997"/>
    <n v="26.861000000000001"/>
    <x v="0"/>
    <m/>
    <n v="45.21"/>
    <s v="OK"/>
  </r>
  <r>
    <x v="2"/>
    <s v="Fernando Alonso"/>
    <s v="Aston Martin"/>
    <n v="14"/>
    <x v="25"/>
    <x v="2"/>
    <n v="10"/>
    <x v="126"/>
    <n v="29.648"/>
    <n v="39.395000000000003"/>
    <n v="26.995999999999999"/>
    <x v="0"/>
    <m/>
    <n v="31.289000000000001"/>
    <s v="OK"/>
  </r>
  <r>
    <x v="3"/>
    <s v="Charles Leclerc"/>
    <s v="Ferrari"/>
    <n v="16"/>
    <x v="25"/>
    <x v="1"/>
    <n v="6"/>
    <x v="127"/>
    <n v="29.391999999999999"/>
    <n v="38.886000000000003"/>
    <n v="26.77"/>
    <x v="0"/>
    <m/>
    <n v="26.407"/>
    <s v="OK"/>
  </r>
  <r>
    <x v="4"/>
    <s v="Lando Norris"/>
    <s v="McLaren"/>
    <n v="4"/>
    <x v="25"/>
    <x v="0"/>
    <n v="1"/>
    <x v="128"/>
    <n v="29.376999999999999"/>
    <n v="38.597999999999999"/>
    <n v="25.998999999999999"/>
    <x v="0"/>
    <m/>
    <n v="56.976999999999997"/>
    <s v="OK"/>
  </r>
  <r>
    <x v="0"/>
    <s v="Max Verstappen"/>
    <s v="Red Bull"/>
    <n v="1"/>
    <x v="26"/>
    <x v="1"/>
    <n v="9"/>
    <x v="129"/>
    <n v="29.062999999999999"/>
    <n v="38.430999999999997"/>
    <n v="26.956"/>
    <x v="0"/>
    <m/>
    <n v="0"/>
    <s v="OK"/>
  </r>
  <r>
    <x v="1"/>
    <s v="Lewis Hamilton"/>
    <s v="Mercedes"/>
    <n v="44"/>
    <x v="26"/>
    <x v="2"/>
    <n v="5"/>
    <x v="130"/>
    <n v="29.707999999999998"/>
    <n v="39.19"/>
    <n v="27.082000000000001"/>
    <x v="0"/>
    <m/>
    <n v="46.738999999999997"/>
    <s v="OK"/>
  </r>
  <r>
    <x v="2"/>
    <s v="Fernando Alonso"/>
    <s v="Aston Martin"/>
    <n v="14"/>
    <x v="26"/>
    <x v="2"/>
    <n v="11"/>
    <x v="131"/>
    <n v="29.853999999999999"/>
    <n v="39.488999999999997"/>
    <n v="27.259"/>
    <x v="0"/>
    <m/>
    <n v="33.442"/>
    <s v="OK"/>
  </r>
  <r>
    <x v="3"/>
    <s v="Charles Leclerc"/>
    <s v="Ferrari"/>
    <n v="16"/>
    <x v="26"/>
    <x v="1"/>
    <n v="7"/>
    <x v="132"/>
    <n v="29.373000000000001"/>
    <n v="39.110999999999997"/>
    <n v="26.963000000000001"/>
    <x v="0"/>
    <m/>
    <n v="27.404"/>
    <s v="OK"/>
  </r>
  <r>
    <x v="4"/>
    <s v="Lando Norris"/>
    <s v="McLaren"/>
    <n v="4"/>
    <x v="26"/>
    <x v="0"/>
    <n v="2"/>
    <x v="133"/>
    <n v="29.254999999999999"/>
    <n v="38.542000000000002"/>
    <n v="26.385000000000002"/>
    <x v="0"/>
    <m/>
    <n v="56.709000000000003"/>
    <s v="OK"/>
  </r>
  <r>
    <x v="0"/>
    <s v="Max Verstappen"/>
    <s v="Red Bull"/>
    <n v="1"/>
    <x v="27"/>
    <x v="1"/>
    <n v="10"/>
    <x v="134"/>
    <n v="29.103000000000002"/>
    <n v="38.451999999999998"/>
    <n v="26.968"/>
    <x v="0"/>
    <m/>
    <n v="0"/>
    <s v="OK"/>
  </r>
  <r>
    <x v="1"/>
    <s v="Lewis Hamilton"/>
    <s v="Mercedes"/>
    <n v="44"/>
    <x v="27"/>
    <x v="2"/>
    <n v="6"/>
    <x v="135"/>
    <n v="29.745000000000001"/>
    <n v="39.331000000000003"/>
    <n v="27.2"/>
    <x v="0"/>
    <m/>
    <n v="48.494"/>
    <s v="OK"/>
  </r>
  <r>
    <x v="2"/>
    <s v="Fernando Alonso"/>
    <s v="Aston Martin"/>
    <n v="14"/>
    <x v="27"/>
    <x v="2"/>
    <n v="12"/>
    <x v="136"/>
    <n v="29.814"/>
    <n v="39.32"/>
    <n v="27.457999999999998"/>
    <x v="0"/>
    <m/>
    <n v="35.512"/>
    <s v="OK"/>
  </r>
  <r>
    <x v="3"/>
    <s v="Charles Leclerc"/>
    <s v="Ferrari"/>
    <n v="16"/>
    <x v="27"/>
    <x v="1"/>
    <n v="8"/>
    <x v="137"/>
    <n v="29.370999999999999"/>
    <n v="39.116"/>
    <n v="26.87"/>
    <x v="0"/>
    <m/>
    <n v="28.239000000000001"/>
    <s v="OK"/>
  </r>
  <r>
    <x v="4"/>
    <s v="Lando Norris"/>
    <s v="McLaren"/>
    <n v="4"/>
    <x v="27"/>
    <x v="0"/>
    <n v="3"/>
    <x v="138"/>
    <n v="29.231000000000002"/>
    <n v="38.56"/>
    <n v="26.669"/>
    <x v="0"/>
    <m/>
    <n v="56.646000000000001"/>
    <s v="OK"/>
  </r>
  <r>
    <x v="0"/>
    <s v="Max Verstappen"/>
    <s v="Red Bull"/>
    <n v="1"/>
    <x v="28"/>
    <x v="1"/>
    <n v="11"/>
    <x v="139"/>
    <n v="29.122"/>
    <n v="38.689"/>
    <n v="26.492999999999999"/>
    <x v="0"/>
    <m/>
    <n v="0"/>
    <s v="OK"/>
  </r>
  <r>
    <x v="1"/>
    <s v="Lewis Hamilton"/>
    <s v="Mercedes"/>
    <n v="44"/>
    <x v="28"/>
    <x v="2"/>
    <n v="7"/>
    <x v="140"/>
    <n v="29.629000000000001"/>
    <n v="39.421999999999997"/>
    <n v="26.797000000000001"/>
    <x v="0"/>
    <m/>
    <n v="50.036999999999999"/>
    <s v="OK"/>
  </r>
  <r>
    <x v="2"/>
    <s v="Fernando Alonso"/>
    <s v="Aston Martin"/>
    <n v="14"/>
    <x v="28"/>
    <x v="2"/>
    <n v="13"/>
    <x v="141"/>
    <n v="29.669"/>
    <n v="39.380000000000003"/>
    <n v="27.372"/>
    <x v="0"/>
    <m/>
    <n v="37.628999999999998"/>
    <s v="OK"/>
  </r>
  <r>
    <x v="3"/>
    <s v="Charles Leclerc"/>
    <s v="Ferrari"/>
    <n v="16"/>
    <x v="28"/>
    <x v="1"/>
    <n v="9"/>
    <x v="142"/>
    <n v="29.513999999999999"/>
    <n v="39.011000000000003"/>
    <n v="27.198"/>
    <x v="0"/>
    <m/>
    <n v="29.658000000000001"/>
    <s v="OK"/>
  </r>
  <r>
    <x v="4"/>
    <s v="Lando Norris"/>
    <s v="McLaren"/>
    <n v="4"/>
    <x v="28"/>
    <x v="0"/>
    <n v="4"/>
    <x v="143"/>
    <n v="29.349"/>
    <n v="38.506999999999998"/>
    <n v="26.414000000000001"/>
    <x v="0"/>
    <m/>
    <n v="56.612000000000002"/>
    <s v="OK"/>
  </r>
  <r>
    <x v="0"/>
    <s v="Max Verstappen"/>
    <s v="Red Bull"/>
    <n v="1"/>
    <x v="29"/>
    <x v="1"/>
    <n v="12"/>
    <x v="144"/>
    <n v="29.169"/>
    <n v="38.555"/>
    <n v="26.969000000000001"/>
    <x v="0"/>
    <m/>
    <n v="0"/>
    <s v="OK"/>
  </r>
  <r>
    <x v="1"/>
    <s v="Lewis Hamilton"/>
    <s v="Mercedes"/>
    <n v="44"/>
    <x v="29"/>
    <x v="2"/>
    <n v="8"/>
    <x v="145"/>
    <n v="29.664000000000001"/>
    <n v="39.478999999999999"/>
    <n v="26.872"/>
    <x v="0"/>
    <m/>
    <n v="51.359000000000002"/>
    <s v="OK"/>
  </r>
  <r>
    <x v="2"/>
    <s v="Fernando Alonso"/>
    <s v="Aston Martin"/>
    <n v="14"/>
    <x v="29"/>
    <x v="2"/>
    <n v="14"/>
    <x v="146"/>
    <n v="29.777000000000001"/>
    <n v="39.398000000000003"/>
    <n v="27.312000000000001"/>
    <x v="0"/>
    <m/>
    <n v="39.421999999999997"/>
    <s v="OK"/>
  </r>
  <r>
    <x v="3"/>
    <s v="Charles Leclerc"/>
    <s v="Ferrari"/>
    <n v="16"/>
    <x v="29"/>
    <x v="1"/>
    <n v="10"/>
    <x v="147"/>
    <n v="29.472000000000001"/>
    <n v="39.045000000000002"/>
    <n v="27.28"/>
    <x v="0"/>
    <m/>
    <n v="30.760999999999999"/>
    <s v="OK"/>
  </r>
  <r>
    <x v="4"/>
    <s v="Lando Norris"/>
    <s v="McLaren"/>
    <n v="4"/>
    <x v="29"/>
    <x v="0"/>
    <n v="5"/>
    <x v="148"/>
    <n v="29.335999999999999"/>
    <n v="38.649000000000001"/>
    <n v="26.366"/>
    <x v="0"/>
    <m/>
    <n v="56.27"/>
    <s v="OK"/>
  </r>
  <r>
    <x v="0"/>
    <s v="Max Verstappen"/>
    <s v="Red Bull"/>
    <n v="1"/>
    <x v="30"/>
    <x v="1"/>
    <n v="13"/>
    <x v="134"/>
    <n v="29.167999999999999"/>
    <n v="38.692999999999998"/>
    <n v="26.661999999999999"/>
    <x v="0"/>
    <m/>
    <n v="0"/>
    <s v="OK"/>
  </r>
  <r>
    <x v="1"/>
    <s v="Lewis Hamilton"/>
    <s v="Mercedes"/>
    <n v="44"/>
    <x v="30"/>
    <x v="2"/>
    <n v="9"/>
    <x v="149"/>
    <n v="29.869"/>
    <n v="39.298000000000002"/>
    <n v="27.119"/>
    <x v="0"/>
    <m/>
    <n v="53.122999999999998"/>
    <s v="OK"/>
  </r>
  <r>
    <x v="2"/>
    <s v="Fernando Alonso"/>
    <s v="Aston Martin"/>
    <n v="14"/>
    <x v="30"/>
    <x v="2"/>
    <n v="15"/>
    <x v="150"/>
    <n v="29.795000000000002"/>
    <n v="39.478000000000002"/>
    <n v="27.414000000000001"/>
    <x v="0"/>
    <m/>
    <n v="41.587000000000003"/>
    <s v="OK"/>
  </r>
  <r>
    <x v="3"/>
    <s v="Charles Leclerc"/>
    <s v="Ferrari"/>
    <n v="16"/>
    <x v="30"/>
    <x v="1"/>
    <n v="11"/>
    <x v="151"/>
    <n v="29.446000000000002"/>
    <n v="38.972999999999999"/>
    <n v="27.463999999999999"/>
    <x v="0"/>
    <m/>
    <n v="32.122"/>
    <s v="OK"/>
  </r>
  <r>
    <x v="4"/>
    <s v="Lando Norris"/>
    <s v="McLaren"/>
    <n v="4"/>
    <x v="30"/>
    <x v="0"/>
    <n v="6"/>
    <x v="152"/>
    <n v="29.215"/>
    <n v="38.793999999999997"/>
    <n v="26.378"/>
    <x v="0"/>
    <m/>
    <n v="56.136000000000003"/>
    <s v="OK"/>
  </r>
  <r>
    <x v="0"/>
    <s v="Max Verstappen"/>
    <s v="Red Bull"/>
    <n v="1"/>
    <x v="31"/>
    <x v="1"/>
    <n v="14"/>
    <x v="153"/>
    <n v="29.265999999999998"/>
    <n v="38.561"/>
    <n v="26.664000000000001"/>
    <x v="0"/>
    <m/>
    <n v="0"/>
    <s v="OK"/>
  </r>
  <r>
    <x v="1"/>
    <s v="Lewis Hamilton"/>
    <s v="Mercedes"/>
    <n v="44"/>
    <x v="31"/>
    <x v="2"/>
    <n v="10"/>
    <x v="154"/>
    <n v="29.853000000000002"/>
    <n v="39.473999999999997"/>
    <n v="27.193999999999999"/>
    <x v="0"/>
    <m/>
    <n v="55.152000000000001"/>
    <s v="OK"/>
  </r>
  <r>
    <x v="2"/>
    <s v="Fernando Alonso"/>
    <s v="Aston Martin"/>
    <n v="14"/>
    <x v="31"/>
    <x v="2"/>
    <n v="16"/>
    <x v="155"/>
    <n v="29.638000000000002"/>
    <n v="39.512999999999998"/>
    <n v="27.603000000000002"/>
    <x v="0"/>
    <m/>
    <n v="43.847999999999999"/>
    <s v="OK"/>
  </r>
  <r>
    <x v="3"/>
    <s v="Charles Leclerc"/>
    <s v="Ferrari"/>
    <n v="16"/>
    <x v="31"/>
    <x v="1"/>
    <n v="12"/>
    <x v="156"/>
    <n v="29.385999999999999"/>
    <n v="39.122999999999998"/>
    <n v="27.058"/>
    <x v="0"/>
    <m/>
    <n v="33.195999999999998"/>
    <s v="OK"/>
  </r>
  <r>
    <x v="4"/>
    <s v="Lando Norris"/>
    <s v="McLaren"/>
    <n v="4"/>
    <x v="31"/>
    <x v="0"/>
    <n v="7"/>
    <x v="157"/>
    <n v="29.244"/>
    <n v="38.582000000000001"/>
    <n v="26.797000000000001"/>
    <x v="0"/>
    <m/>
    <n v="56.267000000000003"/>
    <s v="OK"/>
  </r>
  <r>
    <x v="0"/>
    <s v="Max Verstappen"/>
    <s v="Red Bull"/>
    <n v="1"/>
    <x v="32"/>
    <x v="1"/>
    <n v="15"/>
    <x v="158"/>
    <n v="29.126999999999999"/>
    <n v="38.726999999999997"/>
    <n v="26.844000000000001"/>
    <x v="0"/>
    <m/>
    <n v="0"/>
    <s v="OK"/>
  </r>
  <r>
    <x v="1"/>
    <s v="Lewis Hamilton"/>
    <s v="Mercedes"/>
    <n v="44"/>
    <x v="32"/>
    <x v="2"/>
    <n v="11"/>
    <x v="98"/>
    <n v="29.622"/>
    <n v="39.243000000000002"/>
    <n v="27.553000000000001"/>
    <x v="0"/>
    <m/>
    <n v="56.871000000000002"/>
    <s v="OK"/>
  </r>
  <r>
    <x v="2"/>
    <s v="Fernando Alonso"/>
    <s v="Aston Martin"/>
    <n v="14"/>
    <x v="32"/>
    <x v="2"/>
    <n v="17"/>
    <x v="159"/>
    <n v="29.850999999999999"/>
    <n v="39.302999999999997"/>
    <n v="27.478000000000002"/>
    <x v="0"/>
    <m/>
    <n v="45.783000000000001"/>
    <s v="OK"/>
  </r>
  <r>
    <x v="3"/>
    <s v="Charles Leclerc"/>
    <s v="Ferrari"/>
    <n v="16"/>
    <x v="32"/>
    <x v="1"/>
    <n v="13"/>
    <x v="160"/>
    <n v="29.623000000000001"/>
    <n v="39.031999999999996"/>
    <n v="27.001999999999999"/>
    <x v="0"/>
    <m/>
    <n v="34.155000000000001"/>
    <s v="OK"/>
  </r>
  <r>
    <x v="4"/>
    <s v="Lando Norris"/>
    <s v="McLaren"/>
    <n v="4"/>
    <x v="32"/>
    <x v="0"/>
    <n v="8"/>
    <x v="161"/>
    <n v="29.148"/>
    <n v="38.606999999999999"/>
    <n v="27.055"/>
    <x v="0"/>
    <m/>
    <n v="56.38"/>
    <s v="OK"/>
  </r>
  <r>
    <x v="0"/>
    <s v="Max Verstappen"/>
    <s v="Red Bull"/>
    <n v="1"/>
    <x v="33"/>
    <x v="1"/>
    <n v="16"/>
    <x v="162"/>
    <n v="29.327999999999999"/>
    <n v="38.613999999999997"/>
    <n v="27.163"/>
    <x v="0"/>
    <m/>
    <n v="0"/>
    <s v="OK"/>
  </r>
  <r>
    <x v="1"/>
    <s v="Lewis Hamilton"/>
    <s v="Mercedes"/>
    <n v="44"/>
    <x v="33"/>
    <x v="2"/>
    <n v="12"/>
    <x v="163"/>
    <n v="29.824000000000002"/>
    <n v="39.453000000000003"/>
    <n v="26.896000000000001"/>
    <x v="0"/>
    <m/>
    <n v="57.939"/>
    <s v="OK"/>
  </r>
  <r>
    <x v="2"/>
    <s v="Fernando Alonso"/>
    <s v="Aston Martin"/>
    <n v="14"/>
    <x v="33"/>
    <x v="2"/>
    <n v="18"/>
    <x v="164"/>
    <n v="29.794"/>
    <n v="39.427999999999997"/>
    <n v="27.408000000000001"/>
    <x v="0"/>
    <m/>
    <n v="47.308"/>
    <s v="OK"/>
  </r>
  <r>
    <x v="3"/>
    <s v="Charles Leclerc"/>
    <s v="Ferrari"/>
    <n v="16"/>
    <x v="33"/>
    <x v="1"/>
    <n v="14"/>
    <x v="165"/>
    <n v="29.498000000000001"/>
    <n v="39.058"/>
    <n v="27.045999999999999"/>
    <x v="0"/>
    <m/>
    <n v="34.652000000000001"/>
    <s v="OK"/>
  </r>
  <r>
    <x v="4"/>
    <s v="Lando Norris"/>
    <s v="McLaren"/>
    <n v="4"/>
    <x v="33"/>
    <x v="0"/>
    <n v="9"/>
    <x v="166"/>
    <n v="29.178000000000001"/>
    <n v="38.798999999999999"/>
    <n v="26.555"/>
    <x v="0"/>
    <m/>
    <n v="55.805999999999997"/>
    <s v="OK"/>
  </r>
  <r>
    <x v="0"/>
    <s v="Max Verstappen"/>
    <s v="Red Bull"/>
    <n v="1"/>
    <x v="34"/>
    <x v="1"/>
    <n v="17"/>
    <x v="167"/>
    <n v="29.321999999999999"/>
    <n v="38.531999999999996"/>
    <n v="27.234000000000002"/>
    <x v="0"/>
    <m/>
    <n v="0"/>
    <s v="OK"/>
  </r>
  <r>
    <x v="1"/>
    <s v="Lewis Hamilton"/>
    <s v="Mercedes"/>
    <n v="44"/>
    <x v="34"/>
    <x v="2"/>
    <n v="13"/>
    <x v="168"/>
    <n v="29.614999999999998"/>
    <n v="39.42"/>
    <n v="27.2"/>
    <x v="0"/>
    <m/>
    <n v="59.087000000000003"/>
    <s v="OK"/>
  </r>
  <r>
    <x v="2"/>
    <s v="Fernando Alonso"/>
    <s v="Aston Martin"/>
    <n v="14"/>
    <x v="34"/>
    <x v="2"/>
    <n v="19"/>
    <x v="169"/>
    <n v="29.847000000000001"/>
    <n v="39.264000000000003"/>
    <n v="27.425000000000001"/>
    <x v="0"/>
    <m/>
    <n v="48.756"/>
    <s v="OK"/>
  </r>
  <r>
    <x v="3"/>
    <s v="Charles Leclerc"/>
    <s v="Ferrari"/>
    <n v="16"/>
    <x v="34"/>
    <x v="1"/>
    <n v="15"/>
    <x v="170"/>
    <n v="29.507000000000001"/>
    <n v="38.94"/>
    <n v="27.323"/>
    <x v="0"/>
    <m/>
    <n v="35.334000000000003"/>
    <s v="OK"/>
  </r>
  <r>
    <x v="4"/>
    <s v="Lando Norris"/>
    <s v="McLaren"/>
    <n v="4"/>
    <x v="34"/>
    <x v="0"/>
    <n v="10"/>
    <x v="171"/>
    <n v="29.123999999999999"/>
    <n v="38.555999999999997"/>
    <n v="27.193000000000001"/>
    <x v="0"/>
    <m/>
    <n v="55.591999999999999"/>
    <s v="OK"/>
  </r>
  <r>
    <x v="0"/>
    <s v="Max Verstappen"/>
    <s v="Red Bull"/>
    <n v="1"/>
    <x v="35"/>
    <x v="1"/>
    <n v="18"/>
    <x v="172"/>
    <n v="29.149000000000001"/>
    <n v="38.695999999999998"/>
    <n v="27.001000000000001"/>
    <x v="0"/>
    <m/>
    <n v="0"/>
    <s v="OK"/>
  </r>
  <r>
    <x v="1"/>
    <s v="Lewis Hamilton"/>
    <s v="Mercedes"/>
    <n v="44"/>
    <x v="35"/>
    <x v="2"/>
    <n v="14"/>
    <x v="173"/>
    <n v="29.739000000000001"/>
    <n v="39.347999999999999"/>
    <n v="27.34"/>
    <x v="0"/>
    <m/>
    <n v="60.667999999999999"/>
    <s v="OK"/>
  </r>
  <r>
    <x v="2"/>
    <s v="Fernando Alonso"/>
    <s v="Aston Martin"/>
    <n v="14"/>
    <x v="35"/>
    <x v="2"/>
    <n v="20"/>
    <x v="174"/>
    <n v="29.651"/>
    <n v="39.360999999999997"/>
    <n v="27.693999999999999"/>
    <x v="0"/>
    <m/>
    <n v="50.615000000000002"/>
    <s v="OK"/>
  </r>
  <r>
    <x v="3"/>
    <s v="Charles Leclerc"/>
    <s v="Ferrari"/>
    <n v="16"/>
    <x v="35"/>
    <x v="1"/>
    <n v="16"/>
    <x v="175"/>
    <n v="29.518999999999998"/>
    <n v="38.921999999999997"/>
    <n v="27.393999999999998"/>
    <x v="0"/>
    <m/>
    <n v="36.322000000000003"/>
    <s v="OK"/>
  </r>
  <r>
    <x v="4"/>
    <s v="Lando Norris"/>
    <s v="McLaren"/>
    <n v="4"/>
    <x v="35"/>
    <x v="0"/>
    <n v="11"/>
    <x v="176"/>
    <n v="29.186"/>
    <n v="38.601999999999997"/>
    <n v="27.321000000000002"/>
    <x v="0"/>
    <m/>
    <n v="55.853999999999999"/>
    <s v="OK"/>
  </r>
  <r>
    <x v="0"/>
    <s v="Max Verstappen"/>
    <s v="Red Bull"/>
    <n v="1"/>
    <x v="36"/>
    <x v="1"/>
    <n v="19"/>
    <x v="177"/>
    <n v="29.122"/>
    <n v="38.662999999999997"/>
    <n v="27.077000000000002"/>
    <x v="0"/>
    <m/>
    <n v="0"/>
    <s v="OK"/>
  </r>
  <r>
    <x v="1"/>
    <s v="Lewis Hamilton"/>
    <s v="Mercedes"/>
    <n v="44"/>
    <x v="36"/>
    <x v="2"/>
    <n v="15"/>
    <x v="178"/>
    <n v="29.681000000000001"/>
    <n v="39.401000000000003"/>
    <n v="27.306999999999999"/>
    <x v="0"/>
    <m/>
    <n v="62.195"/>
    <s v="OK"/>
  </r>
  <r>
    <x v="2"/>
    <s v="Fernando Alonso"/>
    <s v="Aston Martin"/>
    <n v="14"/>
    <x v="36"/>
    <x v="2"/>
    <n v="21"/>
    <x v="179"/>
    <n v="29.777999999999999"/>
    <n v="39.317999999999998"/>
    <n v="27.675999999999998"/>
    <x v="0"/>
    <m/>
    <n v="52.526000000000003"/>
    <s v="OK"/>
  </r>
  <r>
    <x v="3"/>
    <s v="Charles Leclerc"/>
    <s v="Ferrari"/>
    <n v="16"/>
    <x v="36"/>
    <x v="1"/>
    <n v="17"/>
    <x v="180"/>
    <n v="29.488"/>
    <n v="38.932000000000002"/>
    <n v="27.581"/>
    <x v="0"/>
    <m/>
    <n v="37.46"/>
    <s v="OK"/>
  </r>
  <r>
    <x v="4"/>
    <s v="Lando Norris"/>
    <s v="McLaren"/>
    <n v="4"/>
    <x v="36"/>
    <x v="0"/>
    <n v="12"/>
    <x v="181"/>
    <n v="29.125"/>
    <n v="38.531999999999996"/>
    <n v="27.202000000000002"/>
    <x v="0"/>
    <m/>
    <n v="55.85"/>
    <s v="OK"/>
  </r>
  <r>
    <x v="0"/>
    <s v="Max Verstappen"/>
    <s v="Red Bull"/>
    <n v="1"/>
    <x v="37"/>
    <x v="1"/>
    <n v="20"/>
    <x v="182"/>
    <n v="29.292000000000002"/>
    <n v="38.567999999999998"/>
    <n v="27.53"/>
    <x v="0"/>
    <m/>
    <n v="0"/>
    <s v="OK"/>
  </r>
  <r>
    <x v="1"/>
    <s v="Lewis Hamilton"/>
    <s v="Mercedes"/>
    <n v="44"/>
    <x v="37"/>
    <x v="2"/>
    <n v="16"/>
    <x v="183"/>
    <n v="29.64"/>
    <n v="39.430999999999997"/>
    <n v="27.344000000000001"/>
    <x v="0"/>
    <m/>
    <n v="63.219000000000001"/>
    <s v="OK"/>
  </r>
  <r>
    <x v="2"/>
    <s v="Fernando Alonso"/>
    <s v="Aston Martin"/>
    <n v="14"/>
    <x v="37"/>
    <x v="2"/>
    <n v="22"/>
    <x v="184"/>
    <n v="29.861999999999998"/>
    <n v="39.277999999999999"/>
    <n v="27.541"/>
    <x v="0"/>
    <m/>
    <n v="53.816000000000003"/>
    <s v="OK"/>
  </r>
  <r>
    <x v="3"/>
    <s v="Charles Leclerc"/>
    <s v="Ferrari"/>
    <n v="16"/>
    <x v="37"/>
    <x v="1"/>
    <n v="18"/>
    <x v="185"/>
    <n v="29.361999999999998"/>
    <n v="38.908000000000001"/>
    <n v="49.033000000000001"/>
    <x v="1"/>
    <n v="2.6"/>
    <n v="59.372999999999998"/>
    <s v="OK"/>
  </r>
  <r>
    <x v="4"/>
    <s v="Lando Norris"/>
    <s v="McLaren"/>
    <n v="4"/>
    <x v="37"/>
    <x v="0"/>
    <n v="13"/>
    <x v="122"/>
    <n v="29.266999999999999"/>
    <n v="38.676000000000002"/>
    <n v="27.440999999999999"/>
    <x v="0"/>
    <m/>
    <n v="55.843000000000004"/>
    <s v="OK"/>
  </r>
  <r>
    <x v="0"/>
    <s v="Max Verstappen"/>
    <s v="Red Bull"/>
    <n v="1"/>
    <x v="38"/>
    <x v="1"/>
    <n v="21"/>
    <x v="186"/>
    <n v="29.321000000000002"/>
    <n v="38.484000000000002"/>
    <n v="27.469000000000001"/>
    <x v="0"/>
    <m/>
    <n v="0"/>
    <s v="OK"/>
  </r>
  <r>
    <x v="1"/>
    <s v="Lewis Hamilton"/>
    <s v="Mercedes"/>
    <n v="44"/>
    <x v="38"/>
    <x v="2"/>
    <n v="17"/>
    <x v="187"/>
    <n v="29.702000000000002"/>
    <n v="39.473999999999997"/>
    <n v="27.452000000000002"/>
    <x v="0"/>
    <m/>
    <n v="64.572999999999993"/>
    <s v="OK"/>
  </r>
  <r>
    <x v="2"/>
    <s v="Fernando Alonso"/>
    <s v="Aston Martin"/>
    <n v="14"/>
    <x v="38"/>
    <x v="2"/>
    <n v="23"/>
    <x v="188"/>
    <n v="29.7"/>
    <n v="39.408000000000001"/>
    <n v="27.934999999999999"/>
    <x v="0"/>
    <m/>
    <n v="55.587000000000003"/>
    <s v="OK"/>
  </r>
  <r>
    <x v="3"/>
    <s v="Charles Leclerc"/>
    <s v="Ferrari"/>
    <n v="16"/>
    <x v="38"/>
    <x v="2"/>
    <n v="1"/>
    <x v="189"/>
    <n v="29.817"/>
    <n v="39.387999999999998"/>
    <n v="27.047999999999998"/>
    <x v="0"/>
    <m/>
    <n v="60.351999999999997"/>
    <s v="OK"/>
  </r>
  <r>
    <x v="4"/>
    <s v="Lando Norris"/>
    <s v="McLaren"/>
    <n v="4"/>
    <x v="38"/>
    <x v="0"/>
    <n v="14"/>
    <x v="190"/>
    <n v="29.355"/>
    <n v="38.65"/>
    <n v="27.346"/>
    <x v="0"/>
    <m/>
    <n v="55.92"/>
    <s v="OK"/>
  </r>
  <r>
    <x v="0"/>
    <s v="Max Verstappen"/>
    <s v="Red Bull"/>
    <n v="1"/>
    <x v="39"/>
    <x v="1"/>
    <n v="22"/>
    <x v="191"/>
    <n v="29.257000000000001"/>
    <n v="38.603000000000002"/>
    <n v="48.320999999999998"/>
    <x v="1"/>
    <n v="2.8"/>
    <n v="0"/>
    <s v="OK"/>
  </r>
  <r>
    <x v="1"/>
    <s v="Lewis Hamilton"/>
    <s v="Mercedes"/>
    <n v="44"/>
    <x v="39"/>
    <x v="2"/>
    <n v="18"/>
    <x v="192"/>
    <n v="29.673999999999999"/>
    <n v="39.359000000000002"/>
    <n v="27.329000000000001"/>
    <x v="0"/>
    <m/>
    <n v="44.753999999999998"/>
    <s v="OK"/>
  </r>
  <r>
    <x v="2"/>
    <s v="Fernando Alonso"/>
    <s v="Aston Martin"/>
    <n v="14"/>
    <x v="39"/>
    <x v="2"/>
    <n v="24"/>
    <x v="193"/>
    <n v="29.765999999999998"/>
    <n v="39.387999999999998"/>
    <n v="27.36"/>
    <x v="0"/>
    <m/>
    <n v="35.92"/>
    <s v="OK"/>
  </r>
  <r>
    <x v="3"/>
    <s v="Charles Leclerc"/>
    <s v="Ferrari"/>
    <n v="16"/>
    <x v="39"/>
    <x v="2"/>
    <n v="2"/>
    <x v="194"/>
    <n v="29.687000000000001"/>
    <n v="39.414999999999999"/>
    <n v="26.792000000000002"/>
    <x v="0"/>
    <m/>
    <n v="40.064999999999998"/>
    <s v="OK"/>
  </r>
  <r>
    <x v="4"/>
    <s v="Lando Norris"/>
    <s v="McLaren"/>
    <n v="4"/>
    <x v="39"/>
    <x v="0"/>
    <n v="15"/>
    <x v="195"/>
    <n v="29.265000000000001"/>
    <n v="38.707000000000001"/>
    <n v="47.23"/>
    <x v="1"/>
    <n v="3.1"/>
    <n v="54.941000000000003"/>
    <s v="OK"/>
  </r>
  <r>
    <x v="0"/>
    <s v="Max Verstappen"/>
    <s v="Red Bull"/>
    <n v="1"/>
    <x v="40"/>
    <x v="2"/>
    <n v="1"/>
    <x v="196"/>
    <n v="29.388000000000002"/>
    <n v="38.868000000000002"/>
    <n v="26.677"/>
    <x v="0"/>
    <m/>
    <n v="0"/>
    <s v="OK"/>
  </r>
  <r>
    <x v="1"/>
    <s v="Lewis Hamilton"/>
    <s v="Mercedes"/>
    <n v="44"/>
    <x v="40"/>
    <x v="2"/>
    <n v="19"/>
    <x v="197"/>
    <n v="29.683"/>
    <n v="39.271999999999998"/>
    <n v="27.495999999999999"/>
    <x v="0"/>
    <m/>
    <n v="46.27"/>
    <s v="OK"/>
  </r>
  <r>
    <x v="2"/>
    <s v="Fernando Alonso"/>
    <s v="Aston Martin"/>
    <n v="14"/>
    <x v="40"/>
    <x v="2"/>
    <n v="25"/>
    <x v="198"/>
    <n v="29.637"/>
    <n v="39.484999999999999"/>
    <n v="27.588999999999999"/>
    <x v="0"/>
    <m/>
    <n v="37.698"/>
    <s v="OK"/>
  </r>
  <r>
    <x v="3"/>
    <s v="Charles Leclerc"/>
    <s v="Ferrari"/>
    <n v="16"/>
    <x v="40"/>
    <x v="2"/>
    <n v="3"/>
    <x v="199"/>
    <n v="29.777000000000001"/>
    <n v="39.344000000000001"/>
    <n v="27.326000000000001"/>
    <x v="0"/>
    <m/>
    <n v="41.578000000000003"/>
    <s v="OK"/>
  </r>
  <r>
    <x v="4"/>
    <s v="Lando Norris"/>
    <s v="McLaren"/>
    <n v="4"/>
    <x v="40"/>
    <x v="2"/>
    <n v="1"/>
    <x v="200"/>
    <n v="29.838999999999999"/>
    <n v="39.448"/>
    <n v="27.277000000000001"/>
    <x v="0"/>
    <m/>
    <n v="56.570999999999998"/>
    <s v="OK"/>
  </r>
  <r>
    <x v="0"/>
    <s v="Max Verstappen"/>
    <s v="Red Bull"/>
    <n v="1"/>
    <x v="41"/>
    <x v="2"/>
    <n v="2"/>
    <x v="201"/>
    <n v="29.509"/>
    <n v="38.908999999999999"/>
    <n v="26.503"/>
    <x v="0"/>
    <m/>
    <n v="0"/>
    <s v="OK"/>
  </r>
  <r>
    <x v="1"/>
    <s v="Lewis Hamilton"/>
    <s v="Mercedes"/>
    <n v="44"/>
    <x v="41"/>
    <x v="2"/>
    <n v="20"/>
    <x v="202"/>
    <n v="29.658000000000001"/>
    <n v="39.204999999999998"/>
    <n v="27.484000000000002"/>
    <x v="0"/>
    <m/>
    <n v="47.697000000000003"/>
    <s v="OK"/>
  </r>
  <r>
    <x v="2"/>
    <s v="Fernando Alonso"/>
    <s v="Aston Martin"/>
    <n v="14"/>
    <x v="41"/>
    <x v="2"/>
    <n v="26"/>
    <x v="203"/>
    <n v="29.608000000000001"/>
    <n v="39.345999999999997"/>
    <n v="46.83"/>
    <x v="1"/>
    <n v="3.4"/>
    <n v="58.561"/>
    <s v="OK"/>
  </r>
  <r>
    <x v="3"/>
    <s v="Charles Leclerc"/>
    <s v="Ferrari"/>
    <n v="16"/>
    <x v="41"/>
    <x v="2"/>
    <n v="4"/>
    <x v="204"/>
    <n v="29.751999999999999"/>
    <n v="39.390999999999998"/>
    <n v="27.100999999999999"/>
    <x v="0"/>
    <m/>
    <n v="42.902000000000001"/>
    <s v="OK"/>
  </r>
  <r>
    <x v="4"/>
    <s v="Lando Norris"/>
    <s v="McLaren"/>
    <n v="4"/>
    <x v="41"/>
    <x v="2"/>
    <n v="2"/>
    <x v="205"/>
    <n v="29.747"/>
    <n v="39.628"/>
    <n v="27.068000000000001"/>
    <x v="0"/>
    <m/>
    <n v="58.094000000000001"/>
    <s v="OK"/>
  </r>
  <r>
    <x v="0"/>
    <s v="Max Verstappen"/>
    <s v="Red Bull"/>
    <n v="1"/>
    <x v="42"/>
    <x v="2"/>
    <n v="3"/>
    <x v="206"/>
    <n v="29.489000000000001"/>
    <n v="39.073"/>
    <n v="26.93"/>
    <x v="0"/>
    <m/>
    <n v="0"/>
    <s v="OK"/>
  </r>
  <r>
    <x v="1"/>
    <s v="Lewis Hamilton"/>
    <s v="Mercedes"/>
    <n v="44"/>
    <x v="42"/>
    <x v="2"/>
    <n v="21"/>
    <x v="207"/>
    <n v="29.699000000000002"/>
    <n v="39.383000000000003"/>
    <n v="27.571999999999999"/>
    <x v="0"/>
    <m/>
    <n v="48.857999999999997"/>
    <s v="OK"/>
  </r>
  <r>
    <x v="2"/>
    <s v="Fernando Alonso"/>
    <s v="Aston Martin"/>
    <n v="14"/>
    <x v="42"/>
    <x v="1"/>
    <n v="1"/>
    <x v="208"/>
    <n v="29.359000000000002"/>
    <n v="38.872999999999998"/>
    <n v="26.969000000000001"/>
    <x v="0"/>
    <m/>
    <n v="58.268999999999998"/>
    <s v="OK"/>
  </r>
  <r>
    <x v="3"/>
    <s v="Charles Leclerc"/>
    <s v="Ferrari"/>
    <n v="16"/>
    <x v="42"/>
    <x v="2"/>
    <n v="5"/>
    <x v="199"/>
    <n v="29.827999999999999"/>
    <n v="39.283999999999999"/>
    <n v="27.334"/>
    <x v="0"/>
    <m/>
    <n v="43.854999999999997"/>
    <s v="OK"/>
  </r>
  <r>
    <x v="4"/>
    <s v="Lando Norris"/>
    <s v="McLaren"/>
    <n v="4"/>
    <x v="42"/>
    <x v="2"/>
    <n v="3"/>
    <x v="209"/>
    <n v="30.018000000000001"/>
    <n v="39.421999999999997"/>
    <n v="27.053000000000001"/>
    <x v="0"/>
    <m/>
    <n v="59.094000000000001"/>
    <s v="OK"/>
  </r>
  <r>
    <x v="0"/>
    <s v="Max Verstappen"/>
    <s v="Red Bull"/>
    <n v="1"/>
    <x v="43"/>
    <x v="2"/>
    <n v="4"/>
    <x v="85"/>
    <n v="29.536999999999999"/>
    <n v="38.866999999999997"/>
    <n v="27.094999999999999"/>
    <x v="0"/>
    <m/>
    <n v="0"/>
    <s v="OK"/>
  </r>
  <r>
    <x v="1"/>
    <s v="Lewis Hamilton"/>
    <s v="Mercedes"/>
    <n v="44"/>
    <x v="43"/>
    <x v="2"/>
    <n v="22"/>
    <x v="210"/>
    <n v="29.622"/>
    <n v="39.470999999999997"/>
    <n v="46.218000000000004"/>
    <x v="1"/>
    <n v="2.9"/>
    <n v="68.668999999999997"/>
    <s v="OK"/>
  </r>
  <r>
    <x v="2"/>
    <s v="Fernando Alonso"/>
    <s v="Aston Martin"/>
    <n v="14"/>
    <x v="43"/>
    <x v="1"/>
    <n v="2"/>
    <x v="211"/>
    <n v="29.396000000000001"/>
    <n v="38.984000000000002"/>
    <n v="26.666"/>
    <x v="0"/>
    <m/>
    <n v="57.816000000000003"/>
    <s v="OK"/>
  </r>
  <r>
    <x v="3"/>
    <s v="Charles Leclerc"/>
    <s v="Ferrari"/>
    <n v="16"/>
    <x v="43"/>
    <x v="2"/>
    <n v="6"/>
    <x v="197"/>
    <n v="29.86"/>
    <n v="39.454999999999998"/>
    <n v="27.135999999999999"/>
    <x v="0"/>
    <m/>
    <n v="44.805999999999997"/>
    <s v="OK"/>
  </r>
  <r>
    <x v="4"/>
    <s v="Lando Norris"/>
    <s v="McLaren"/>
    <n v="4"/>
    <x v="43"/>
    <x v="2"/>
    <n v="4"/>
    <x v="212"/>
    <n v="29.838000000000001"/>
    <n v="39.518000000000001"/>
    <n v="27.411999999999999"/>
    <x v="0"/>
    <m/>
    <n v="60.363"/>
    <s v="OK"/>
  </r>
  <r>
    <x v="0"/>
    <s v="Max Verstappen"/>
    <s v="Red Bull"/>
    <n v="1"/>
    <x v="44"/>
    <x v="2"/>
    <n v="5"/>
    <x v="213"/>
    <n v="29.379000000000001"/>
    <n v="39.101999999999997"/>
    <n v="26.957000000000001"/>
    <x v="0"/>
    <m/>
    <n v="0"/>
    <s v="OK"/>
  </r>
  <r>
    <x v="1"/>
    <s v="Lewis Hamilton"/>
    <s v="Mercedes"/>
    <n v="44"/>
    <x v="44"/>
    <x v="1"/>
    <n v="1"/>
    <x v="214"/>
    <n v="29.542000000000002"/>
    <n v="38.802999999999997"/>
    <n v="26.317"/>
    <x v="0"/>
    <m/>
    <n v="67.894000000000005"/>
    <s v="OK"/>
  </r>
  <r>
    <x v="2"/>
    <s v="Fernando Alonso"/>
    <s v="Aston Martin"/>
    <n v="14"/>
    <x v="44"/>
    <x v="1"/>
    <n v="3"/>
    <x v="215"/>
    <n v="29.481999999999999"/>
    <n v="38.939"/>
    <n v="26.817"/>
    <x v="0"/>
    <m/>
    <n v="57.618000000000002"/>
    <s v="OK"/>
  </r>
  <r>
    <x v="3"/>
    <s v="Charles Leclerc"/>
    <s v="Ferrari"/>
    <n v="16"/>
    <x v="44"/>
    <x v="2"/>
    <n v="7"/>
    <x v="216"/>
    <n v="29.818999999999999"/>
    <n v="39.432000000000002"/>
    <n v="27.044"/>
    <x v="0"/>
    <m/>
    <n v="45.664000000000001"/>
    <s v="OK"/>
  </r>
  <r>
    <x v="4"/>
    <s v="Lando Norris"/>
    <s v="McLaren"/>
    <n v="4"/>
    <x v="44"/>
    <x v="2"/>
    <n v="5"/>
    <x v="217"/>
    <n v="29.856999999999999"/>
    <n v="39.673000000000002"/>
    <n v="26.957999999999998"/>
    <x v="0"/>
    <m/>
    <n v="61.412999999999997"/>
    <s v="OK"/>
  </r>
  <r>
    <x v="0"/>
    <s v="Max Verstappen"/>
    <s v="Red Bull"/>
    <n v="1"/>
    <x v="45"/>
    <x v="2"/>
    <n v="6"/>
    <x v="218"/>
    <n v="29.581"/>
    <n v="38.896999999999998"/>
    <n v="26.806999999999999"/>
    <x v="0"/>
    <m/>
    <n v="0"/>
    <s v="OK"/>
  </r>
  <r>
    <x v="1"/>
    <s v="Lewis Hamilton"/>
    <s v="Mercedes"/>
    <n v="44"/>
    <x v="45"/>
    <x v="1"/>
    <n v="2"/>
    <x v="219"/>
    <n v="29.542000000000002"/>
    <n v="39.042999999999999"/>
    <n v="26.434000000000001"/>
    <x v="0"/>
    <m/>
    <n v="67.626999999999995"/>
    <s v="OK"/>
  </r>
  <r>
    <x v="2"/>
    <s v="Fernando Alonso"/>
    <s v="Aston Martin"/>
    <n v="14"/>
    <x v="45"/>
    <x v="1"/>
    <n v="4"/>
    <x v="220"/>
    <n v="29.341000000000001"/>
    <n v="39.104999999999997"/>
    <n v="26.443000000000001"/>
    <x v="0"/>
    <m/>
    <n v="57.222999999999999"/>
    <s v="OK"/>
  </r>
  <r>
    <x v="3"/>
    <s v="Charles Leclerc"/>
    <s v="Ferrari"/>
    <n v="16"/>
    <x v="45"/>
    <x v="2"/>
    <n v="8"/>
    <x v="221"/>
    <n v="29.931999999999999"/>
    <n v="39.506"/>
    <n v="26.76"/>
    <x v="0"/>
    <m/>
    <n v="46.576999999999998"/>
    <s v="OK"/>
  </r>
  <r>
    <x v="4"/>
    <s v="Lando Norris"/>
    <s v="McLaren"/>
    <n v="4"/>
    <x v="45"/>
    <x v="2"/>
    <n v="6"/>
    <x v="222"/>
    <n v="29.835000000000001"/>
    <n v="39.421999999999997"/>
    <n v="27.443000000000001"/>
    <x v="0"/>
    <m/>
    <n v="62.829000000000001"/>
    <s v="OK"/>
  </r>
  <r>
    <x v="0"/>
    <s v="Max Verstappen"/>
    <s v="Red Bull"/>
    <n v="1"/>
    <x v="46"/>
    <x v="2"/>
    <n v="7"/>
    <x v="223"/>
    <n v="29.437999999999999"/>
    <n v="39"/>
    <n v="27.178000000000001"/>
    <x v="0"/>
    <m/>
    <n v="0"/>
    <s v="OK"/>
  </r>
  <r>
    <x v="1"/>
    <s v="Lewis Hamilton"/>
    <s v="Mercedes"/>
    <n v="44"/>
    <x v="46"/>
    <x v="1"/>
    <n v="3"/>
    <x v="224"/>
    <n v="29.306000000000001"/>
    <n v="38.994"/>
    <n v="26.545000000000002"/>
    <x v="0"/>
    <m/>
    <n v="66.856999999999999"/>
    <s v="OK"/>
  </r>
  <r>
    <x v="2"/>
    <s v="Fernando Alonso"/>
    <s v="Aston Martin"/>
    <n v="14"/>
    <x v="46"/>
    <x v="1"/>
    <n v="5"/>
    <x v="225"/>
    <n v="29.449000000000002"/>
    <n v="39.043999999999997"/>
    <n v="26.766999999999999"/>
    <x v="0"/>
    <m/>
    <n v="56.866999999999997"/>
    <s v="OK"/>
  </r>
  <r>
    <x v="3"/>
    <s v="Charles Leclerc"/>
    <s v="Ferrari"/>
    <n v="16"/>
    <x v="46"/>
    <x v="2"/>
    <n v="9"/>
    <x v="226"/>
    <n v="29.891999999999999"/>
    <n v="39.411999999999999"/>
    <n v="27.094000000000001"/>
    <x v="0"/>
    <m/>
    <n v="47.359000000000002"/>
    <s v="OK"/>
  </r>
  <r>
    <x v="4"/>
    <s v="Lando Norris"/>
    <s v="McLaren"/>
    <n v="4"/>
    <x v="46"/>
    <x v="2"/>
    <n v="7"/>
    <x v="227"/>
    <n v="29.771999999999998"/>
    <n v="39.484999999999999"/>
    <n v="27.276"/>
    <x v="0"/>
    <m/>
    <n v="63.746000000000002"/>
    <s v="OK"/>
  </r>
  <r>
    <x v="0"/>
    <s v="Max Verstappen"/>
    <s v="Red Bull"/>
    <n v="1"/>
    <x v="47"/>
    <x v="2"/>
    <n v="8"/>
    <x v="228"/>
    <n v="29.486000000000001"/>
    <n v="38.921999999999997"/>
    <n v="26.959"/>
    <x v="0"/>
    <m/>
    <n v="0"/>
    <s v="OK"/>
  </r>
  <r>
    <x v="1"/>
    <s v="Lewis Hamilton"/>
    <s v="Mercedes"/>
    <n v="44"/>
    <x v="47"/>
    <x v="1"/>
    <n v="4"/>
    <x v="229"/>
    <n v="29.451000000000001"/>
    <n v="38.908999999999999"/>
    <n v="26.713999999999999"/>
    <x v="0"/>
    <m/>
    <n v="66.563999999999993"/>
    <s v="OK"/>
  </r>
  <r>
    <x v="2"/>
    <s v="Fernando Alonso"/>
    <s v="Aston Martin"/>
    <n v="14"/>
    <x v="47"/>
    <x v="1"/>
    <n v="6"/>
    <x v="230"/>
    <n v="29.539000000000001"/>
    <n v="38.917999999999999"/>
    <n v="26.719000000000001"/>
    <x v="0"/>
    <m/>
    <n v="56.677"/>
    <s v="OK"/>
  </r>
  <r>
    <x v="3"/>
    <s v="Charles Leclerc"/>
    <s v="Ferrari"/>
    <n v="16"/>
    <x v="47"/>
    <x v="2"/>
    <n v="10"/>
    <x v="231"/>
    <n v="29.779"/>
    <n v="39.463000000000001"/>
    <n v="27.134"/>
    <x v="0"/>
    <m/>
    <n v="48.369"/>
    <s v="OK"/>
  </r>
  <r>
    <x v="4"/>
    <s v="Lando Norris"/>
    <s v="McLaren"/>
    <n v="4"/>
    <x v="47"/>
    <x v="2"/>
    <n v="8"/>
    <x v="232"/>
    <n v="29.890999999999998"/>
    <n v="39.625999999999998"/>
    <n v="27.349"/>
    <x v="0"/>
    <m/>
    <n v="65.245000000000005"/>
    <s v="OK"/>
  </r>
  <r>
    <x v="0"/>
    <s v="Max Verstappen"/>
    <s v="Red Bull"/>
    <n v="1"/>
    <x v="48"/>
    <x v="2"/>
    <n v="9"/>
    <x v="19"/>
    <n v="29.387"/>
    <n v="38.966000000000001"/>
    <n v="26.87"/>
    <x v="0"/>
    <m/>
    <n v="0"/>
    <s v="OK"/>
  </r>
  <r>
    <x v="1"/>
    <s v="Lewis Hamilton"/>
    <s v="Mercedes"/>
    <n v="44"/>
    <x v="48"/>
    <x v="1"/>
    <n v="5"/>
    <x v="218"/>
    <n v="29.407"/>
    <n v="38.963999999999999"/>
    <n v="26.913"/>
    <x v="0"/>
    <m/>
    <n v="66.626999999999995"/>
    <s v="OK"/>
  </r>
  <r>
    <x v="2"/>
    <s v="Fernando Alonso"/>
    <s v="Aston Martin"/>
    <n v="14"/>
    <x v="48"/>
    <x v="1"/>
    <n v="7"/>
    <x v="233"/>
    <n v="29.577999999999999"/>
    <n v="39.030999999999999"/>
    <n v="26.515000000000001"/>
    <x v="0"/>
    <m/>
    <n v="56.578000000000003"/>
    <s v="OK"/>
  </r>
  <r>
    <x v="3"/>
    <s v="Charles Leclerc"/>
    <s v="Ferrari"/>
    <n v="16"/>
    <x v="48"/>
    <x v="2"/>
    <n v="11"/>
    <x v="234"/>
    <n v="29.806999999999999"/>
    <n v="39.353000000000002"/>
    <n v="27.077000000000002"/>
    <x v="0"/>
    <m/>
    <n v="49.384"/>
    <s v="OK"/>
  </r>
  <r>
    <x v="4"/>
    <s v="Lando Norris"/>
    <s v="McLaren"/>
    <n v="4"/>
    <x v="48"/>
    <x v="2"/>
    <n v="9"/>
    <x v="235"/>
    <n v="29.76"/>
    <n v="39.542000000000002"/>
    <n v="27.326000000000001"/>
    <x v="0"/>
    <m/>
    <n v="66.652000000000001"/>
    <s v="OK"/>
  </r>
  <r>
    <x v="0"/>
    <s v="Max Verstappen"/>
    <s v="Red Bull"/>
    <n v="1"/>
    <x v="49"/>
    <x v="2"/>
    <n v="10"/>
    <x v="236"/>
    <n v="29.378"/>
    <n v="38.942"/>
    <n v="26.928000000000001"/>
    <x v="0"/>
    <m/>
    <n v="0"/>
    <s v="OK"/>
  </r>
  <r>
    <x v="1"/>
    <s v="Lewis Hamilton"/>
    <s v="Mercedes"/>
    <n v="44"/>
    <x v="49"/>
    <x v="1"/>
    <n v="6"/>
    <x v="237"/>
    <n v="29.331"/>
    <n v="38.908000000000001"/>
    <n v="26.939"/>
    <x v="0"/>
    <m/>
    <n v="66.557000000000002"/>
    <s v="OK"/>
  </r>
  <r>
    <x v="2"/>
    <s v="Fernando Alonso"/>
    <s v="Aston Martin"/>
    <n v="14"/>
    <x v="49"/>
    <x v="1"/>
    <n v="8"/>
    <x v="238"/>
    <n v="29.338999999999999"/>
    <n v="38.975000000000001"/>
    <n v="26.798999999999999"/>
    <x v="0"/>
    <m/>
    <n v="56.442999999999998"/>
    <s v="OK"/>
  </r>
  <r>
    <x v="3"/>
    <s v="Charles Leclerc"/>
    <s v="Ferrari"/>
    <n v="16"/>
    <x v="49"/>
    <x v="2"/>
    <n v="12"/>
    <x v="239"/>
    <n v="29.672000000000001"/>
    <n v="39.448999999999998"/>
    <n v="27.181999999999999"/>
    <x v="0"/>
    <m/>
    <n v="50.439"/>
    <s v="OK"/>
  </r>
  <r>
    <x v="4"/>
    <s v="Lando Norris"/>
    <s v="McLaren"/>
    <n v="4"/>
    <x v="49"/>
    <x v="2"/>
    <n v="10"/>
    <x v="240"/>
    <n v="29.997"/>
    <n v="39.484000000000002"/>
    <n v="27.058"/>
    <x v="0"/>
    <m/>
    <n v="67.944000000000003"/>
    <s v="OK"/>
  </r>
  <r>
    <x v="0"/>
    <s v="Max Verstappen"/>
    <s v="Red Bull"/>
    <n v="1"/>
    <x v="50"/>
    <x v="2"/>
    <n v="11"/>
    <x v="241"/>
    <n v="29.541"/>
    <n v="38.892000000000003"/>
    <n v="27.262"/>
    <x v="0"/>
    <m/>
    <n v="0"/>
    <s v="OK"/>
  </r>
  <r>
    <x v="1"/>
    <s v="Lewis Hamilton"/>
    <s v="Mercedes"/>
    <n v="44"/>
    <x v="50"/>
    <x v="1"/>
    <n v="7"/>
    <x v="242"/>
    <n v="29.506"/>
    <n v="38.923999999999999"/>
    <n v="27.010999999999999"/>
    <x v="0"/>
    <m/>
    <n v="66.302999999999997"/>
    <s v="OK"/>
  </r>
  <r>
    <x v="2"/>
    <s v="Fernando Alonso"/>
    <s v="Aston Martin"/>
    <n v="14"/>
    <x v="50"/>
    <x v="1"/>
    <n v="9"/>
    <x v="243"/>
    <n v="29.489000000000001"/>
    <n v="38.874000000000002"/>
    <n v="26.968"/>
    <x v="0"/>
    <m/>
    <n v="56.079000000000001"/>
    <s v="OK"/>
  </r>
  <r>
    <x v="3"/>
    <s v="Charles Leclerc"/>
    <s v="Ferrari"/>
    <n v="16"/>
    <x v="50"/>
    <x v="2"/>
    <n v="13"/>
    <x v="244"/>
    <n v="29.76"/>
    <n v="39.51"/>
    <n v="26.988"/>
    <x v="0"/>
    <m/>
    <n v="51.002000000000002"/>
    <s v="OK"/>
  </r>
  <r>
    <x v="4"/>
    <s v="Lando Norris"/>
    <s v="McLaren"/>
    <n v="4"/>
    <x v="50"/>
    <x v="2"/>
    <n v="11"/>
    <x v="245"/>
    <n v="29.97"/>
    <n v="39.436999999999998"/>
    <n v="27.469000000000001"/>
    <x v="0"/>
    <m/>
    <n v="69.123999999999995"/>
    <s v="OK"/>
  </r>
  <r>
    <x v="0"/>
    <s v="Max Verstappen"/>
    <s v="Red Bull"/>
    <n v="1"/>
    <x v="51"/>
    <x v="2"/>
    <n v="12"/>
    <x v="246"/>
    <n v="29.626999999999999"/>
    <n v="38.85"/>
    <n v="27.016999999999999"/>
    <x v="0"/>
    <m/>
    <n v="0"/>
    <s v="OK"/>
  </r>
  <r>
    <x v="1"/>
    <s v="Lewis Hamilton"/>
    <s v="Mercedes"/>
    <n v="44"/>
    <x v="51"/>
    <x v="1"/>
    <n v="8"/>
    <x v="247"/>
    <n v="29.350999999999999"/>
    <n v="38.920999999999999"/>
    <n v="27.177"/>
    <x v="0"/>
    <m/>
    <n v="66.259"/>
    <s v="OK"/>
  </r>
  <r>
    <x v="2"/>
    <s v="Fernando Alonso"/>
    <s v="Aston Martin"/>
    <n v="14"/>
    <x v="51"/>
    <x v="1"/>
    <n v="10"/>
    <x v="248"/>
    <n v="29.562999999999999"/>
    <n v="38.968000000000004"/>
    <n v="26.878"/>
    <x v="0"/>
    <m/>
    <n v="55.994"/>
    <s v="OK"/>
  </r>
  <r>
    <x v="3"/>
    <s v="Charles Leclerc"/>
    <s v="Ferrari"/>
    <n v="16"/>
    <x v="51"/>
    <x v="2"/>
    <n v="14"/>
    <x v="249"/>
    <n v="29.84"/>
    <n v="39.302999999999997"/>
    <n v="27.26"/>
    <x v="0"/>
    <m/>
    <n v="51.911999999999999"/>
    <s v="OK"/>
  </r>
  <r>
    <x v="4"/>
    <s v="Lando Norris"/>
    <s v="McLaren"/>
    <n v="4"/>
    <x v="51"/>
    <x v="2"/>
    <n v="12"/>
    <x v="250"/>
    <n v="29.91"/>
    <n v="39.530999999999999"/>
    <n v="27.413"/>
    <x v="0"/>
    <m/>
    <n v="70.484999999999999"/>
    <s v="OK"/>
  </r>
  <r>
    <x v="0"/>
    <s v="Max Verstappen"/>
    <s v="Red Bull"/>
    <n v="1"/>
    <x v="52"/>
    <x v="2"/>
    <n v="13"/>
    <x v="251"/>
    <n v="29.594000000000001"/>
    <n v="38.972999999999999"/>
    <n v="26.997"/>
    <x v="0"/>
    <m/>
    <n v="0"/>
    <s v="OK"/>
  </r>
  <r>
    <x v="1"/>
    <s v="Lewis Hamilton"/>
    <s v="Mercedes"/>
    <n v="44"/>
    <x v="52"/>
    <x v="1"/>
    <n v="9"/>
    <x v="252"/>
    <n v="29.393000000000001"/>
    <n v="38.887999999999998"/>
    <n v="26.753"/>
    <x v="0"/>
    <m/>
    <n v="65.728999999999999"/>
    <s v="OK"/>
  </r>
  <r>
    <x v="2"/>
    <s v="Fernando Alonso"/>
    <s v="Aston Martin"/>
    <n v="14"/>
    <x v="52"/>
    <x v="1"/>
    <n v="11"/>
    <x v="253"/>
    <n v="29.504999999999999"/>
    <n v="38.965000000000003"/>
    <n v="26.734000000000002"/>
    <x v="0"/>
    <m/>
    <n v="55.634999999999998"/>
    <s v="OK"/>
  </r>
  <r>
    <x v="3"/>
    <s v="Charles Leclerc"/>
    <s v="Ferrari"/>
    <n v="16"/>
    <x v="52"/>
    <x v="2"/>
    <n v="15"/>
    <x v="254"/>
    <n v="29.684000000000001"/>
    <n v="39.380000000000003"/>
    <n v="27.286000000000001"/>
    <x v="0"/>
    <m/>
    <n v="52.697000000000003"/>
    <s v="OK"/>
  </r>
  <r>
    <x v="4"/>
    <s v="Lando Norris"/>
    <s v="McLaren"/>
    <n v="4"/>
    <x v="52"/>
    <x v="2"/>
    <n v="13"/>
    <x v="255"/>
    <n v="29.978999999999999"/>
    <n v="39.688000000000002"/>
    <n v="27.213000000000001"/>
    <x v="0"/>
    <m/>
    <n v="71.802000000000007"/>
    <s v="OK"/>
  </r>
  <r>
    <x v="0"/>
    <s v="Max Verstappen"/>
    <s v="Red Bull"/>
    <n v="1"/>
    <x v="53"/>
    <x v="2"/>
    <n v="14"/>
    <x v="256"/>
    <n v="29.628"/>
    <n v="39.061999999999998"/>
    <n v="26.707999999999998"/>
    <x v="0"/>
    <m/>
    <n v="0"/>
    <s v="OK"/>
  </r>
  <r>
    <x v="1"/>
    <s v="Lewis Hamilton"/>
    <s v="Mercedes"/>
    <n v="44"/>
    <x v="53"/>
    <x v="1"/>
    <n v="10"/>
    <x v="257"/>
    <n v="29.292999999999999"/>
    <n v="38.826999999999998"/>
    <n v="27.042000000000002"/>
    <x v="0"/>
    <m/>
    <n v="65.492999999999995"/>
    <s v="OK"/>
  </r>
  <r>
    <x v="2"/>
    <s v="Fernando Alonso"/>
    <s v="Aston Martin"/>
    <n v="14"/>
    <x v="53"/>
    <x v="1"/>
    <n v="12"/>
    <x v="258"/>
    <n v="29.536999999999999"/>
    <n v="39.055999999999997"/>
    <n v="26.725999999999999"/>
    <x v="0"/>
    <m/>
    <n v="55.555999999999997"/>
    <s v="OK"/>
  </r>
  <r>
    <x v="3"/>
    <s v="Charles Leclerc"/>
    <s v="Ferrari"/>
    <n v="16"/>
    <x v="53"/>
    <x v="2"/>
    <n v="16"/>
    <x v="212"/>
    <n v="29.69"/>
    <n v="39.448999999999998"/>
    <n v="27.629000000000001"/>
    <x v="0"/>
    <m/>
    <n v="54.067"/>
    <s v="OK"/>
  </r>
  <r>
    <x v="4"/>
    <s v="Lando Norris"/>
    <s v="McLaren"/>
    <n v="4"/>
    <x v="53"/>
    <x v="2"/>
    <n v="14"/>
    <x v="259"/>
    <n v="29.872"/>
    <n v="39.433"/>
    <n v="27.292000000000002"/>
    <x v="0"/>
    <m/>
    <n v="73.001000000000005"/>
    <s v="OK"/>
  </r>
  <r>
    <x v="0"/>
    <s v="Max Verstappen"/>
    <s v="Red Bull"/>
    <n v="1"/>
    <x v="54"/>
    <x v="2"/>
    <n v="15"/>
    <x v="260"/>
    <n v="29.54"/>
    <n v="39.1"/>
    <n v="26.69"/>
    <x v="0"/>
    <m/>
    <n v="0"/>
    <s v="OK"/>
  </r>
  <r>
    <x v="1"/>
    <s v="Lewis Hamilton"/>
    <s v="Mercedes"/>
    <n v="44"/>
    <x v="54"/>
    <x v="1"/>
    <n v="11"/>
    <x v="261"/>
    <n v="29.494"/>
    <n v="38.994999999999997"/>
    <n v="26.753"/>
    <x v="0"/>
    <m/>
    <n v="65.406000000000006"/>
    <s v="OK"/>
  </r>
  <r>
    <x v="2"/>
    <s v="Fernando Alonso"/>
    <s v="Aston Martin"/>
    <n v="14"/>
    <x v="54"/>
    <x v="1"/>
    <n v="13"/>
    <x v="262"/>
    <n v="29.335000000000001"/>
    <n v="38.905000000000001"/>
    <n v="27.574999999999999"/>
    <x v="0"/>
    <m/>
    <n v="56.042000000000002"/>
    <s v="OK"/>
  </r>
  <r>
    <x v="3"/>
    <s v="Charles Leclerc"/>
    <s v="Ferrari"/>
    <n v="16"/>
    <x v="54"/>
    <x v="2"/>
    <n v="17"/>
    <x v="209"/>
    <n v="29.797000000000001"/>
    <n v="39.435000000000002"/>
    <n v="27.262"/>
    <x v="0"/>
    <m/>
    <n v="55.23"/>
    <s v="OK"/>
  </r>
  <r>
    <x v="4"/>
    <s v="Lando Norris"/>
    <s v="McLaren"/>
    <n v="4"/>
    <x v="54"/>
    <x v="2"/>
    <n v="15"/>
    <x v="263"/>
    <n v="29.963999999999999"/>
    <n v="39.448"/>
    <n v="27.323"/>
    <x v="0"/>
    <m/>
    <n v="74.405000000000001"/>
    <s v="OK"/>
  </r>
  <r>
    <x v="0"/>
    <s v="Max Verstappen"/>
    <s v="Red Bull"/>
    <n v="1"/>
    <x v="55"/>
    <x v="2"/>
    <n v="16"/>
    <x v="264"/>
    <n v="29.640999999999998"/>
    <n v="39.029000000000003"/>
    <n v="27.167000000000002"/>
    <x v="0"/>
    <m/>
    <n v="0"/>
    <s v="OK"/>
  </r>
  <r>
    <x v="1"/>
    <s v="Lewis Hamilton"/>
    <s v="Mercedes"/>
    <n v="44"/>
    <x v="55"/>
    <x v="1"/>
    <n v="12"/>
    <x v="265"/>
    <n v="29.515000000000001"/>
    <n v="38.901000000000003"/>
    <n v="26.744"/>
    <x v="0"/>
    <m/>
    <n v="64.728999999999999"/>
    <s v="OK"/>
  </r>
  <r>
    <x v="2"/>
    <s v="Fernando Alonso"/>
    <s v="Aston Martin"/>
    <n v="14"/>
    <x v="55"/>
    <x v="1"/>
    <n v="14"/>
    <x v="266"/>
    <n v="29.440999999999999"/>
    <n v="38.994999999999997"/>
    <n v="27.425000000000001"/>
    <x v="0"/>
    <m/>
    <n v="56.064"/>
    <s v="OK"/>
  </r>
  <r>
    <x v="3"/>
    <s v="Charles Leclerc"/>
    <s v="Ferrari"/>
    <n v="16"/>
    <x v="55"/>
    <x v="2"/>
    <n v="18"/>
    <x v="267"/>
    <n v="29.696000000000002"/>
    <n v="39.473999999999997"/>
    <n v="27.437000000000001"/>
    <x v="0"/>
    <m/>
    <n v="56.000999999999998"/>
    <s v="OK"/>
  </r>
  <r>
    <x v="4"/>
    <s v="Lando Norris"/>
    <s v="McLaren"/>
    <n v="4"/>
    <x v="55"/>
    <x v="2"/>
    <n v="16"/>
    <x v="268"/>
    <n v="30.004000000000001"/>
    <n v="39.457999999999998"/>
    <n v="27.734000000000002"/>
    <x v="0"/>
    <m/>
    <n v="75.763999999999996"/>
    <s v="OK"/>
  </r>
  <r>
    <x v="0"/>
    <s v="Max Verstappen"/>
    <s v="Red Bull"/>
    <n v="1"/>
    <x v="56"/>
    <x v="2"/>
    <n v="17"/>
    <x v="269"/>
    <n v="29.645"/>
    <n v="39.090000000000003"/>
    <n v="26.65"/>
    <x v="0"/>
    <m/>
    <n v="0"/>
    <s v="OK"/>
  </r>
  <r>
    <x v="1"/>
    <s v="Lewis Hamilton"/>
    <s v="Mercedes"/>
    <n v="44"/>
    <x v="56"/>
    <x v="1"/>
    <n v="13"/>
    <x v="270"/>
    <n v="29.579000000000001"/>
    <n v="39"/>
    <n v="27.143000000000001"/>
    <x v="0"/>
    <m/>
    <n v="65.064999999999998"/>
    <s v="OK"/>
  </r>
  <r>
    <x v="2"/>
    <s v="Fernando Alonso"/>
    <s v="Aston Martin"/>
    <n v="14"/>
    <x v="56"/>
    <x v="1"/>
    <n v="15"/>
    <x v="271"/>
    <n v="29.334"/>
    <n v="38.917000000000002"/>
    <n v="27.619"/>
    <x v="0"/>
    <m/>
    <n v="56.548000000000002"/>
    <s v="OK"/>
  </r>
  <r>
    <x v="3"/>
    <s v="Charles Leclerc"/>
    <s v="Ferrari"/>
    <n v="16"/>
    <x v="56"/>
    <x v="2"/>
    <n v="19"/>
    <x v="272"/>
    <n v="29.777000000000001"/>
    <n v="39.563000000000002"/>
    <n v="27.16"/>
    <x v="0"/>
    <m/>
    <n v="57.115000000000002"/>
    <s v="OK"/>
  </r>
  <r>
    <x v="4"/>
    <s v="Lando Norris"/>
    <s v="McLaren"/>
    <n v="4"/>
    <x v="56"/>
    <x v="2"/>
    <n v="17"/>
    <x v="273"/>
    <n v="29.954999999999998"/>
    <n v="39.408999999999999"/>
    <n v="27.728999999999999"/>
    <x v="0"/>
    <m/>
    <n v="77.471999999999994"/>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EB0C06-4AA5-41DC-903A-C4136FF20D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0:G145" firstHeaderRow="1" firstDataRow="2" firstDataCol="1" rowPageCount="1" colPageCount="1"/>
  <pivotFields count="15">
    <pivotField axis="axisCol" showAll="0">
      <items count="6">
        <item x="2"/>
        <item x="1"/>
        <item x="3"/>
        <item x="4"/>
        <item x="0"/>
        <item t="default"/>
      </items>
    </pivotField>
    <pivotField showAll="0"/>
    <pivotField showAll="0"/>
    <pivotField showAll="0"/>
    <pivotField axis="axisRow" showAll="0">
      <items count="6">
        <item x="0"/>
        <item x="1"/>
        <item x="2"/>
        <item x="3"/>
        <item x="4"/>
        <item t="default"/>
      </items>
    </pivotField>
    <pivotField showAll="0"/>
    <pivotField showAll="0"/>
    <pivotField dataField="1" showAll="0"/>
    <pivotField showAll="0"/>
    <pivotField showAll="0"/>
    <pivotField showAll="0"/>
    <pivotField axis="axisPage" showAll="0">
      <items count="3">
        <item x="0"/>
        <item x="1"/>
        <item t="default"/>
      </items>
    </pivotField>
    <pivotField showAll="0"/>
    <pivotField showAll="0"/>
    <pivotField showAll="0"/>
  </pivotFields>
  <rowFields count="1">
    <field x="4"/>
  </rowFields>
  <rowItems count="4">
    <i>
      <x v="1"/>
    </i>
    <i>
      <x v="2"/>
    </i>
    <i>
      <x v="3"/>
    </i>
    <i t="grand">
      <x/>
    </i>
  </rowItems>
  <colFields count="1">
    <field x="0"/>
  </colFields>
  <colItems count="6">
    <i>
      <x/>
    </i>
    <i>
      <x v="1"/>
    </i>
    <i>
      <x v="2"/>
    </i>
    <i>
      <x v="3"/>
    </i>
    <i>
      <x v="4"/>
    </i>
    <i t="grand">
      <x/>
    </i>
  </colItems>
  <pageFields count="1">
    <pageField fld="11" item="0" hier="-1"/>
  </pageFields>
  <dataFields count="1">
    <dataField name="Average of Lap_Time_s" fld="7"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F7D573-10A6-4AFA-BEC1-D1A2B62FC54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5:E132" firstHeaderRow="1" firstDataRow="2" firstDataCol="1" rowPageCount="1" colPageCount="1"/>
  <pivotFields count="15">
    <pivotField axis="axisRow" showAll="0">
      <items count="6">
        <item x="2"/>
        <item x="1"/>
        <item x="3"/>
        <item x="4"/>
        <item x="0"/>
        <item t="default"/>
      </items>
    </pivotField>
    <pivotField showAll="0"/>
    <pivotField showAll="0"/>
    <pivotField showAll="0"/>
    <pivotField dataField="1" showAll="0">
      <items count="6">
        <item x="0"/>
        <item x="1"/>
        <item x="2"/>
        <item x="3"/>
        <item x="4"/>
        <item t="default"/>
      </items>
    </pivotField>
    <pivotField axis="axisCol" showAll="0">
      <items count="4">
        <item x="2"/>
        <item x="1"/>
        <item x="0"/>
        <item t="default"/>
      </items>
    </pivotField>
    <pivotField showAll="0"/>
    <pivotField showAll="0"/>
    <pivotField showAll="0"/>
    <pivotField showAll="0"/>
    <pivotField showAll="0"/>
    <pivotField axis="axisPage" showAll="0">
      <items count="3">
        <item x="0"/>
        <item x="1"/>
        <item t="default"/>
      </items>
    </pivotField>
    <pivotField showAll="0"/>
    <pivotField showAll="0"/>
    <pivotField showAll="0"/>
  </pivotFields>
  <rowFields count="1">
    <field x="0"/>
  </rowFields>
  <rowItems count="6">
    <i>
      <x/>
    </i>
    <i>
      <x v="1"/>
    </i>
    <i>
      <x v="2"/>
    </i>
    <i>
      <x v="3"/>
    </i>
    <i>
      <x v="4"/>
    </i>
    <i t="grand">
      <x/>
    </i>
  </rowItems>
  <colFields count="1">
    <field x="5"/>
  </colFields>
  <colItems count="4">
    <i>
      <x/>
    </i>
    <i>
      <x v="1"/>
    </i>
    <i>
      <x v="2"/>
    </i>
    <i t="grand">
      <x/>
    </i>
  </colItems>
  <pageFields count="1">
    <pageField fld="11" item="0" hier="-1"/>
  </pageFields>
  <dataFields count="1">
    <dataField name="Count of Lap"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8F8D-0C16-4279-AC68-AC6BC1A8F5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0:E117" firstHeaderRow="1" firstDataRow="2" firstDataCol="1" rowPageCount="1" colPageCount="1"/>
  <pivotFields count="15">
    <pivotField axis="axisRow" showAll="0">
      <items count="6">
        <item x="2"/>
        <item x="1"/>
        <item x="3"/>
        <item x="4"/>
        <item x="0"/>
        <item t="default"/>
      </items>
    </pivotField>
    <pivotField showAll="0"/>
    <pivotField showAll="0"/>
    <pivotField showAll="0"/>
    <pivotField showAll="0">
      <items count="6">
        <item x="0"/>
        <item x="1"/>
        <item x="2"/>
        <item x="3"/>
        <item x="4"/>
        <item t="default"/>
      </items>
    </pivotField>
    <pivotField axis="axisCol" showAll="0">
      <items count="4">
        <item x="2"/>
        <item x="1"/>
        <item x="0"/>
        <item t="default"/>
      </items>
    </pivotField>
    <pivotField showAll="0"/>
    <pivotField dataField="1" showAll="0">
      <items count="275">
        <item x="5"/>
        <item x="10"/>
        <item x="25"/>
        <item x="15"/>
        <item x="20"/>
        <item x="40"/>
        <item x="45"/>
        <item x="35"/>
        <item x="30"/>
        <item x="7"/>
        <item x="50"/>
        <item x="18"/>
        <item x="22"/>
        <item x="64"/>
        <item x="89"/>
        <item x="23"/>
        <item x="12"/>
        <item x="104"/>
        <item x="128"/>
        <item x="99"/>
        <item x="37"/>
        <item x="13"/>
        <item x="79"/>
        <item x="74"/>
        <item x="8"/>
        <item x="109"/>
        <item x="28"/>
        <item x="27"/>
        <item x="17"/>
        <item x="133"/>
        <item x="33"/>
        <item x="143"/>
        <item x="32"/>
        <item x="94"/>
        <item x="69"/>
        <item x="139"/>
        <item x="124"/>
        <item x="148"/>
        <item x="38"/>
        <item x="152"/>
        <item x="129"/>
        <item x="138"/>
        <item x="153"/>
        <item x="42"/>
        <item x="47"/>
        <item x="134"/>
        <item x="52"/>
        <item x="166"/>
        <item x="51"/>
        <item x="114"/>
        <item x="119"/>
        <item x="157"/>
        <item x="214"/>
        <item x="144"/>
        <item x="158"/>
        <item x="48"/>
        <item x="43"/>
        <item x="161"/>
        <item x="67"/>
        <item x="11"/>
        <item x="6"/>
        <item x="224"/>
        <item x="172"/>
        <item x="181"/>
        <item x="177"/>
        <item x="171"/>
        <item x="102"/>
        <item x="71"/>
        <item x="220"/>
        <item x="66"/>
        <item x="201"/>
        <item x="196"/>
        <item x="219"/>
        <item x="252"/>
        <item x="211"/>
        <item x="127"/>
        <item x="229"/>
        <item x="16"/>
        <item x="167"/>
        <item x="162"/>
        <item x="176"/>
        <item x="238"/>
        <item x="41"/>
        <item x="233"/>
        <item x="107"/>
        <item x="265"/>
        <item x="257"/>
        <item x="230"/>
        <item x="237"/>
        <item x="92"/>
        <item x="208"/>
        <item x="253"/>
        <item x="117"/>
        <item x="72"/>
        <item x="19"/>
        <item x="112"/>
        <item x="77"/>
        <item x="215"/>
        <item x="261"/>
        <item x="236"/>
        <item x="21"/>
        <item x="225"/>
        <item x="31"/>
        <item x="186"/>
        <item x="218"/>
        <item x="26"/>
        <item x="258"/>
        <item x="260"/>
        <item x="243"/>
        <item x="9"/>
        <item x="87"/>
        <item x="190"/>
        <item x="137"/>
        <item x="228"/>
        <item x="122"/>
        <item x="269"/>
        <item x="182"/>
        <item x="256"/>
        <item x="14"/>
        <item x="248"/>
        <item x="82"/>
        <item x="34"/>
        <item x="213"/>
        <item x="242"/>
        <item x="132"/>
        <item x="247"/>
        <item x="70"/>
        <item x="206"/>
        <item x="246"/>
        <item x="85"/>
        <item x="36"/>
        <item x="251"/>
        <item x="156"/>
        <item x="39"/>
        <item x="165"/>
        <item x="29"/>
        <item x="223"/>
        <item x="24"/>
        <item x="53"/>
        <item x="46"/>
        <item x="90"/>
        <item x="160"/>
        <item x="65"/>
        <item x="241"/>
        <item x="270"/>
        <item x="142"/>
        <item x="81"/>
        <item x="170"/>
        <item x="86"/>
        <item x="147"/>
        <item x="49"/>
        <item x="262"/>
        <item x="100"/>
        <item x="175"/>
        <item x="264"/>
        <item x="140"/>
        <item x="266"/>
        <item x="271"/>
        <item x="151"/>
        <item x="194"/>
        <item x="75"/>
        <item x="80"/>
        <item x="110"/>
        <item x="130"/>
        <item x="111"/>
        <item x="125"/>
        <item x="180"/>
        <item x="91"/>
        <item x="145"/>
        <item x="95"/>
        <item x="120"/>
        <item x="126"/>
        <item x="44"/>
        <item x="68"/>
        <item x="115"/>
        <item x="163"/>
        <item x="221"/>
        <item x="88"/>
        <item x="73"/>
        <item x="168"/>
        <item x="234"/>
        <item x="108"/>
        <item x="204"/>
        <item x="189"/>
        <item x="244"/>
        <item x="96"/>
        <item x="135"/>
        <item x="149"/>
        <item x="106"/>
        <item x="216"/>
        <item x="78"/>
        <item x="239"/>
        <item x="116"/>
        <item x="202"/>
        <item x="254"/>
        <item x="192"/>
        <item x="231"/>
        <item x="178"/>
        <item x="226"/>
        <item x="249"/>
        <item x="101"/>
        <item x="183"/>
        <item x="98"/>
        <item x="141"/>
        <item x="173"/>
        <item x="205"/>
        <item x="199"/>
        <item x="197"/>
        <item x="146"/>
        <item x="217"/>
        <item x="209"/>
        <item x="272"/>
        <item x="118"/>
        <item x="193"/>
        <item x="154"/>
        <item x="83"/>
        <item x="227"/>
        <item x="169"/>
        <item x="240"/>
        <item x="103"/>
        <item x="200"/>
        <item x="121"/>
        <item x="113"/>
        <item x="93"/>
        <item x="136"/>
        <item x="259"/>
        <item x="131"/>
        <item x="267"/>
        <item x="187"/>
        <item x="235"/>
        <item x="164"/>
        <item x="159"/>
        <item x="207"/>
        <item x="184"/>
        <item x="150"/>
        <item x="222"/>
        <item x="174"/>
        <item x="198"/>
        <item x="263"/>
        <item x="155"/>
        <item x="212"/>
        <item x="179"/>
        <item x="250"/>
        <item x="232"/>
        <item x="245"/>
        <item x="255"/>
        <item x="188"/>
        <item x="273"/>
        <item x="268"/>
        <item x="3"/>
        <item x="2"/>
        <item x="0"/>
        <item x="1"/>
        <item x="4"/>
        <item x="54"/>
        <item x="59"/>
        <item x="56"/>
        <item x="61"/>
        <item x="62"/>
        <item x="57"/>
        <item x="55"/>
        <item x="60"/>
        <item x="58"/>
        <item x="63"/>
        <item x="76"/>
        <item x="84"/>
        <item x="105"/>
        <item x="195"/>
        <item x="210"/>
        <item x="203"/>
        <item x="191"/>
        <item x="123"/>
        <item x="97"/>
        <item x="185"/>
        <item t="default"/>
      </items>
    </pivotField>
    <pivotField showAll="0"/>
    <pivotField showAll="0"/>
    <pivotField showAll="0"/>
    <pivotField axis="axisPage" showAll="0">
      <items count="3">
        <item x="0"/>
        <item x="1"/>
        <item t="default"/>
      </items>
    </pivotField>
    <pivotField showAll="0"/>
    <pivotField showAll="0"/>
    <pivotField showAll="0"/>
  </pivotFields>
  <rowFields count="1">
    <field x="0"/>
  </rowFields>
  <rowItems count="6">
    <i>
      <x/>
    </i>
    <i>
      <x v="1"/>
    </i>
    <i>
      <x v="2"/>
    </i>
    <i>
      <x v="3"/>
    </i>
    <i>
      <x v="4"/>
    </i>
    <i t="grand">
      <x/>
    </i>
  </rowItems>
  <colFields count="1">
    <field x="5"/>
  </colFields>
  <colItems count="4">
    <i>
      <x/>
    </i>
    <i>
      <x v="1"/>
    </i>
    <i>
      <x v="2"/>
    </i>
    <i t="grand">
      <x/>
    </i>
  </colItems>
  <pageFields count="1">
    <pageField fld="11" item="0" hier="-1"/>
  </pageFields>
  <dataFields count="1">
    <dataField name="Average of Lap_Time_s" fld="7" subtotal="average" baseField="0" baseItem="0"/>
  </dataFields>
  <conditionalFormats count="2">
    <conditionalFormat priority="1">
      <pivotAreas count="1">
        <pivotArea type="data" collapsedLevelsAreSubtotals="1" fieldPosition="0">
          <references count="3">
            <reference field="4294967294" count="1" selected="0">
              <x v="0"/>
            </reference>
            <reference field="0" count="5">
              <x v="0"/>
              <x v="1"/>
              <x v="2"/>
              <x v="3"/>
              <x v="4"/>
            </reference>
            <reference field="5" count="3" selected="0">
              <x v="0"/>
              <x v="1"/>
              <x v="2"/>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2FE907-9A4A-4350-BEA9-6DCD2A247108}" autoFormatId="16" applyNumberFormats="0" applyBorderFormats="0" applyFontFormats="0" applyPatternFormats="0" applyAlignmentFormats="0" applyWidthHeightFormats="0">
  <queryTableRefresh nextId="16" unboundColumnsRight="1">
    <queryTableFields count="15">
      <queryTableField id="1" name="Driver_Code" tableColumnId="1"/>
      <queryTableField id="2" name="Driver_Name" tableColumnId="2"/>
      <queryTableField id="3" name="Team" tableColumnId="3"/>
      <queryTableField id="4" name="Car_Number" tableColumnId="4"/>
      <queryTableField id="5" name="Lap" tableColumnId="5"/>
      <queryTableField id="6" name="Tyre_Compound" tableColumnId="6"/>
      <queryTableField id="7" name="Lap_On_Tyre" tableColumnId="7"/>
      <queryTableField id="8" name="Lap_Time_s" tableColumnId="8"/>
      <queryTableField id="9" name="S1_Time_s" tableColumnId="9"/>
      <queryTableField id="10" name="S2_Time_s" tableColumnId="10"/>
      <queryTableField id="11" name="S3_Time_s" tableColumnId="11"/>
      <queryTableField id="12" name="Is_Pit_Lap" tableColumnId="12"/>
      <queryTableField id="13" name="Pit_Stop_Duration_s" tableColumnId="13"/>
      <queryTableField id="14" name="Gap_To_Leader_s"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Code" xr10:uid="{9E2725DC-22C5-4CA8-9C2D-0425D307F2DD}" sourceName="Driver_Code">
  <pivotTables>
    <pivotTable tabId="1" name="PivotTable1"/>
  </pivotTables>
  <data>
    <tabular pivotCacheId="1103933826">
      <items count="5">
        <i x="2" s="1"/>
        <i x="1" s="1"/>
        <i x="3"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re_Compound" xr10:uid="{D5F21A99-4094-4339-86D2-C5D574DF29F1}" sourceName="Tyre_Compound">
  <pivotTables>
    <pivotTable tabId="1" name="PivotTable1"/>
  </pivotTables>
  <data>
    <tabular pivotCacheId="110393382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river_Code" xr10:uid="{3369282D-4112-43AE-B36B-57E675B1B976}" cache="Slicer_Driver_Code" caption="Driver_Code" rowHeight="234950"/>
  <slicer name="Tyre_Compound" xr10:uid="{F5A7B24E-0586-48B7-9F42-17440AB2B95A}" cache="Slicer_Tyre_Compound" caption="Tyre_Compoun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55AA5E-CA86-4E2C-8EF9-0306F1A5FDD1}" name="RaceData" displayName="RaceData" ref="A1:O286" tableType="queryTable" totalsRowShown="0">
  <autoFilter ref="A1:O286" xr:uid="{A055AA5E-CA86-4E2C-8EF9-0306F1A5FDD1}"/>
  <tableColumns count="15">
    <tableColumn id="1" xr3:uid="{F6302412-D922-45CE-BF3D-61B0C9C2BAEE}" uniqueName="1" name="Driver_Code" queryTableFieldId="1" dataDxfId="7"/>
    <tableColumn id="2" xr3:uid="{CE5B3A76-A866-436C-BEEC-5C0B9F6CB2AD}" uniqueName="2" name="Driver_Name" queryTableFieldId="2" dataDxfId="6"/>
    <tableColumn id="3" xr3:uid="{74C2AA1D-DFB6-436E-AB76-0266C8D7AE5A}" uniqueName="3" name="Team" queryTableFieldId="3" dataDxfId="5"/>
    <tableColumn id="4" xr3:uid="{4348CA2A-51E9-4B9B-B864-82F15F143D25}" uniqueName="4" name="Car_Number" queryTableFieldId="4"/>
    <tableColumn id="5" xr3:uid="{1FBD0968-F646-45B7-B2A4-97EAD9B17D9D}" uniqueName="5" name="Lap" queryTableFieldId="5"/>
    <tableColumn id="6" xr3:uid="{CED25439-C2B1-4C10-AC82-974D2AEC56C2}" uniqueName="6" name="Tyre_Compound" queryTableFieldId="6" dataDxfId="4"/>
    <tableColumn id="7" xr3:uid="{F718E237-E3E0-4043-AB1B-3E0712F75E1C}" uniqueName="7" name="Lap_On_Tyre" queryTableFieldId="7"/>
    <tableColumn id="8" xr3:uid="{CF426691-610D-48E6-9ED7-1A682F7F2BF2}" uniqueName="8" name="Lap_Time_s" queryTableFieldId="8"/>
    <tableColumn id="9" xr3:uid="{470BDEBF-6A7D-467A-8D06-F2045BFF685B}" uniqueName="9" name="S1_Time_s" queryTableFieldId="9"/>
    <tableColumn id="10" xr3:uid="{4D5CD945-DB2A-4C89-827B-FA15DA3B1AE7}" uniqueName="10" name="S2_Time_s" queryTableFieldId="10"/>
    <tableColumn id="11" xr3:uid="{65811FA1-EC56-4228-B224-C570B14A66C3}" uniqueName="11" name="S3_Time_s" queryTableFieldId="11"/>
    <tableColumn id="12" xr3:uid="{73F9BB9B-A3C5-4BBF-97B2-D5F23CC151E3}" uniqueName="12" name="Is_Pit_Lap" queryTableFieldId="12" dataDxfId="3"/>
    <tableColumn id="13" xr3:uid="{43A4927B-F2D8-45B3-876B-CAB357E00F12}" uniqueName="13" name="Pit_Stop_Duration_s" queryTableFieldId="13"/>
    <tableColumn id="14" xr3:uid="{47B92EC4-C697-46C7-B8A2-7A6B452DA797}" uniqueName="14" name="Gap_To_Leader_s" queryTableFieldId="14"/>
    <tableColumn id="15" xr3:uid="{0BB7D19E-87A2-4979-A38A-870B2F640133}" uniqueName="15" name="Sector_Check" queryTableFieldId="15" dataDxfId="2">
      <calculatedColumnFormula>IF(ABS((I2+J2+K2)-H2)&lt;0.01, "OK", "MISMATCH"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01A4A-3E4E-4FF2-AE52-9B9A3E0326D3}">
  <dimension ref="A1:R286"/>
  <sheetViews>
    <sheetView topLeftCell="B1" zoomScale="74" workbookViewId="0">
      <selection activeCell="Y31" sqref="Y31"/>
    </sheetView>
  </sheetViews>
  <sheetFormatPr defaultRowHeight="14.4" x14ac:dyDescent="0.3"/>
  <cols>
    <col min="1" max="1" width="13.5546875" bestFit="1" customWidth="1"/>
    <col min="2" max="2" width="14.77734375" bestFit="1" customWidth="1"/>
    <col min="3" max="3" width="11.5546875" bestFit="1" customWidth="1"/>
    <col min="4" max="4" width="13.88671875" bestFit="1" customWidth="1"/>
    <col min="5" max="5" width="6.21875" bestFit="1" customWidth="1"/>
    <col min="6" max="6" width="17.44140625" bestFit="1" customWidth="1"/>
    <col min="7" max="7" width="14.33203125" bestFit="1" customWidth="1"/>
    <col min="8" max="8" width="13.109375" bestFit="1" customWidth="1"/>
    <col min="9" max="11" width="12.109375" bestFit="1" customWidth="1"/>
    <col min="12" max="12" width="11.77734375" bestFit="1" customWidth="1"/>
    <col min="13" max="13" width="20.6640625" bestFit="1" customWidth="1"/>
    <col min="14" max="14" width="18.218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37</v>
      </c>
      <c r="R1" t="s">
        <v>4</v>
      </c>
    </row>
    <row r="2" spans="1:18" x14ac:dyDescent="0.3">
      <c r="A2" t="s">
        <v>14</v>
      </c>
      <c r="B2" t="s">
        <v>15</v>
      </c>
      <c r="C2" t="s">
        <v>16</v>
      </c>
      <c r="D2">
        <v>1</v>
      </c>
      <c r="E2">
        <v>1</v>
      </c>
      <c r="F2" t="s">
        <v>17</v>
      </c>
      <c r="G2">
        <v>1</v>
      </c>
      <c r="H2">
        <v>97.846000000000004</v>
      </c>
      <c r="I2">
        <v>30.370999999999999</v>
      </c>
      <c r="J2">
        <v>40.201000000000001</v>
      </c>
      <c r="K2">
        <v>27.274000000000001</v>
      </c>
      <c r="L2" t="s">
        <v>18</v>
      </c>
      <c r="N2">
        <v>0</v>
      </c>
      <c r="O2" t="str">
        <f t="shared" ref="O2:O65" si="0">IF(ABS((I2+J2+K2)-H2)&lt;0.01, "OK", "MISMATCH" )</f>
        <v>OK</v>
      </c>
      <c r="R2">
        <v>1</v>
      </c>
    </row>
    <row r="3" spans="1:18" x14ac:dyDescent="0.3">
      <c r="A3" t="s">
        <v>19</v>
      </c>
      <c r="B3" t="s">
        <v>20</v>
      </c>
      <c r="C3" t="s">
        <v>21</v>
      </c>
      <c r="D3">
        <v>44</v>
      </c>
      <c r="E3">
        <v>1</v>
      </c>
      <c r="F3" t="s">
        <v>22</v>
      </c>
      <c r="G3">
        <v>1</v>
      </c>
      <c r="H3">
        <v>99.305000000000007</v>
      </c>
      <c r="I3">
        <v>30.867999999999999</v>
      </c>
      <c r="J3">
        <v>40.572000000000003</v>
      </c>
      <c r="K3">
        <v>27.864000000000001</v>
      </c>
      <c r="L3" t="s">
        <v>18</v>
      </c>
      <c r="N3">
        <v>0</v>
      </c>
      <c r="O3" t="str">
        <f t="shared" si="0"/>
        <v>OK</v>
      </c>
      <c r="R3">
        <v>2</v>
      </c>
    </row>
    <row r="4" spans="1:18" x14ac:dyDescent="0.3">
      <c r="A4" t="s">
        <v>23</v>
      </c>
      <c r="B4" t="s">
        <v>24</v>
      </c>
      <c r="C4" t="s">
        <v>25</v>
      </c>
      <c r="D4">
        <v>14</v>
      </c>
      <c r="E4">
        <v>1</v>
      </c>
      <c r="F4" t="s">
        <v>17</v>
      </c>
      <c r="G4">
        <v>1</v>
      </c>
      <c r="H4">
        <v>97.816000000000003</v>
      </c>
      <c r="I4">
        <v>30.419</v>
      </c>
      <c r="J4">
        <v>40.075000000000003</v>
      </c>
      <c r="K4">
        <v>27.321999999999999</v>
      </c>
      <c r="L4" t="s">
        <v>18</v>
      </c>
      <c r="N4">
        <v>0</v>
      </c>
      <c r="O4" t="str">
        <f t="shared" si="0"/>
        <v>OK</v>
      </c>
      <c r="R4">
        <v>3</v>
      </c>
    </row>
    <row r="5" spans="1:18" x14ac:dyDescent="0.3">
      <c r="A5" t="s">
        <v>26</v>
      </c>
      <c r="B5" t="s">
        <v>27</v>
      </c>
      <c r="C5" t="s">
        <v>28</v>
      </c>
      <c r="D5">
        <v>16</v>
      </c>
      <c r="E5">
        <v>1</v>
      </c>
      <c r="F5" t="s">
        <v>17</v>
      </c>
      <c r="G5">
        <v>1</v>
      </c>
      <c r="H5">
        <v>97.481999999999999</v>
      </c>
      <c r="I5">
        <v>30.166</v>
      </c>
      <c r="J5">
        <v>40.018999999999998</v>
      </c>
      <c r="K5">
        <v>27.297999999999998</v>
      </c>
      <c r="L5" t="s">
        <v>18</v>
      </c>
      <c r="N5">
        <v>0</v>
      </c>
      <c r="O5" t="str">
        <f t="shared" si="0"/>
        <v>OK</v>
      </c>
      <c r="R5">
        <f>R4 + 1</f>
        <v>4</v>
      </c>
    </row>
    <row r="6" spans="1:18" x14ac:dyDescent="0.3">
      <c r="A6" t="s">
        <v>29</v>
      </c>
      <c r="B6" t="s">
        <v>30</v>
      </c>
      <c r="C6" t="s">
        <v>31</v>
      </c>
      <c r="D6">
        <v>4</v>
      </c>
      <c r="E6">
        <v>1</v>
      </c>
      <c r="F6" t="s">
        <v>22</v>
      </c>
      <c r="G6">
        <v>1</v>
      </c>
      <c r="H6">
        <v>99.748999999999995</v>
      </c>
      <c r="I6">
        <v>30.783999999999999</v>
      </c>
      <c r="J6">
        <v>40.863999999999997</v>
      </c>
      <c r="K6">
        <v>28.100999999999999</v>
      </c>
      <c r="L6" t="s">
        <v>18</v>
      </c>
      <c r="N6">
        <v>0</v>
      </c>
      <c r="O6" t="str">
        <f t="shared" si="0"/>
        <v>OK</v>
      </c>
      <c r="R6">
        <f t="shared" ref="R6:R58" si="1">R5 + 1</f>
        <v>5</v>
      </c>
    </row>
    <row r="7" spans="1:18" x14ac:dyDescent="0.3">
      <c r="A7" t="s">
        <v>14</v>
      </c>
      <c r="B7" t="s">
        <v>15</v>
      </c>
      <c r="C7" t="s">
        <v>16</v>
      </c>
      <c r="D7">
        <v>1</v>
      </c>
      <c r="E7">
        <v>2</v>
      </c>
      <c r="F7" t="s">
        <v>17</v>
      </c>
      <c r="G7">
        <v>2</v>
      </c>
      <c r="H7">
        <v>92.878</v>
      </c>
      <c r="I7">
        <v>28.783999999999999</v>
      </c>
      <c r="J7">
        <v>38.034999999999997</v>
      </c>
      <c r="K7">
        <v>26.059000000000001</v>
      </c>
      <c r="L7" t="s">
        <v>18</v>
      </c>
      <c r="N7">
        <v>0</v>
      </c>
      <c r="O7" t="str">
        <f t="shared" si="0"/>
        <v>OK</v>
      </c>
      <c r="R7">
        <f t="shared" si="1"/>
        <v>6</v>
      </c>
    </row>
    <row r="8" spans="1:18" x14ac:dyDescent="0.3">
      <c r="A8" t="s">
        <v>19</v>
      </c>
      <c r="B8" t="s">
        <v>20</v>
      </c>
      <c r="C8" t="s">
        <v>21</v>
      </c>
      <c r="D8">
        <v>44</v>
      </c>
      <c r="E8">
        <v>2</v>
      </c>
      <c r="F8" t="s">
        <v>22</v>
      </c>
      <c r="G8">
        <v>2</v>
      </c>
      <c r="H8">
        <v>94.840999999999994</v>
      </c>
      <c r="I8">
        <v>29.427</v>
      </c>
      <c r="J8">
        <v>38.898000000000003</v>
      </c>
      <c r="K8">
        <v>26.515999999999998</v>
      </c>
      <c r="L8" t="s">
        <v>18</v>
      </c>
      <c r="N8">
        <v>3.4209999999999998</v>
      </c>
      <c r="O8" t="str">
        <f t="shared" si="0"/>
        <v>OK</v>
      </c>
      <c r="R8">
        <f t="shared" si="1"/>
        <v>7</v>
      </c>
    </row>
    <row r="9" spans="1:18" x14ac:dyDescent="0.3">
      <c r="A9" t="s">
        <v>23</v>
      </c>
      <c r="B9" t="s">
        <v>24</v>
      </c>
      <c r="C9" t="s">
        <v>25</v>
      </c>
      <c r="D9">
        <v>14</v>
      </c>
      <c r="E9">
        <v>2</v>
      </c>
      <c r="F9" t="s">
        <v>17</v>
      </c>
      <c r="G9">
        <v>2</v>
      </c>
      <c r="H9">
        <v>93.537999999999997</v>
      </c>
      <c r="I9">
        <v>29.021000000000001</v>
      </c>
      <c r="J9">
        <v>38.472999999999999</v>
      </c>
      <c r="K9">
        <v>26.045000000000002</v>
      </c>
      <c r="L9" t="s">
        <v>18</v>
      </c>
      <c r="N9">
        <v>0.63</v>
      </c>
      <c r="O9" t="str">
        <f t="shared" si="0"/>
        <v>OK</v>
      </c>
      <c r="R9">
        <f t="shared" si="1"/>
        <v>8</v>
      </c>
    </row>
    <row r="10" spans="1:18" x14ac:dyDescent="0.3">
      <c r="A10" t="s">
        <v>26</v>
      </c>
      <c r="B10" t="s">
        <v>27</v>
      </c>
      <c r="C10" t="s">
        <v>28</v>
      </c>
      <c r="D10">
        <v>16</v>
      </c>
      <c r="E10">
        <v>2</v>
      </c>
      <c r="F10" t="s">
        <v>17</v>
      </c>
      <c r="G10">
        <v>2</v>
      </c>
      <c r="H10">
        <v>94.069000000000003</v>
      </c>
      <c r="I10">
        <v>29.207000000000001</v>
      </c>
      <c r="J10">
        <v>38.561999999999998</v>
      </c>
      <c r="K10">
        <v>26.3</v>
      </c>
      <c r="L10" t="s">
        <v>18</v>
      </c>
      <c r="N10">
        <v>0.82699999999999996</v>
      </c>
      <c r="O10" t="str">
        <f t="shared" si="0"/>
        <v>OK</v>
      </c>
      <c r="R10">
        <f t="shared" si="1"/>
        <v>9</v>
      </c>
    </row>
    <row r="11" spans="1:18" x14ac:dyDescent="0.3">
      <c r="A11" t="s">
        <v>29</v>
      </c>
      <c r="B11" t="s">
        <v>30</v>
      </c>
      <c r="C11" t="s">
        <v>31</v>
      </c>
      <c r="D11">
        <v>4</v>
      </c>
      <c r="E11">
        <v>2</v>
      </c>
      <c r="F11" t="s">
        <v>22</v>
      </c>
      <c r="G11">
        <v>2</v>
      </c>
      <c r="H11">
        <v>95.34</v>
      </c>
      <c r="I11">
        <v>29.587</v>
      </c>
      <c r="J11">
        <v>39.131999999999998</v>
      </c>
      <c r="K11">
        <v>26.620999999999999</v>
      </c>
      <c r="L11" t="s">
        <v>18</v>
      </c>
      <c r="N11">
        <v>4.3650000000000002</v>
      </c>
      <c r="O11" t="str">
        <f t="shared" si="0"/>
        <v>OK</v>
      </c>
      <c r="R11">
        <f t="shared" si="1"/>
        <v>10</v>
      </c>
    </row>
    <row r="12" spans="1:18" x14ac:dyDescent="0.3">
      <c r="A12" t="s">
        <v>14</v>
      </c>
      <c r="B12" t="s">
        <v>15</v>
      </c>
      <c r="C12" t="s">
        <v>16</v>
      </c>
      <c r="D12">
        <v>1</v>
      </c>
      <c r="E12">
        <v>3</v>
      </c>
      <c r="F12" t="s">
        <v>17</v>
      </c>
      <c r="G12">
        <v>3</v>
      </c>
      <c r="H12">
        <v>92.974999999999994</v>
      </c>
      <c r="I12">
        <v>28.896000000000001</v>
      </c>
      <c r="J12">
        <v>38.057000000000002</v>
      </c>
      <c r="K12">
        <v>26.021999999999998</v>
      </c>
      <c r="L12" t="s">
        <v>18</v>
      </c>
      <c r="N12">
        <v>0</v>
      </c>
      <c r="O12" t="str">
        <f t="shared" si="0"/>
        <v>OK</v>
      </c>
      <c r="R12">
        <f t="shared" si="1"/>
        <v>11</v>
      </c>
    </row>
    <row r="13" spans="1:18" x14ac:dyDescent="0.3">
      <c r="A13" t="s">
        <v>19</v>
      </c>
      <c r="B13" t="s">
        <v>20</v>
      </c>
      <c r="C13" t="s">
        <v>21</v>
      </c>
      <c r="D13">
        <v>44</v>
      </c>
      <c r="E13">
        <v>3</v>
      </c>
      <c r="F13" t="s">
        <v>22</v>
      </c>
      <c r="G13">
        <v>3</v>
      </c>
      <c r="H13">
        <v>94.82</v>
      </c>
      <c r="I13">
        <v>29.291</v>
      </c>
      <c r="J13">
        <v>38.927</v>
      </c>
      <c r="K13">
        <v>26.600999999999999</v>
      </c>
      <c r="L13" t="s">
        <v>18</v>
      </c>
      <c r="N13">
        <v>5.2670000000000003</v>
      </c>
      <c r="O13" t="str">
        <f t="shared" si="0"/>
        <v>OK</v>
      </c>
      <c r="R13">
        <f t="shared" si="1"/>
        <v>12</v>
      </c>
    </row>
    <row r="14" spans="1:18" x14ac:dyDescent="0.3">
      <c r="A14" t="s">
        <v>23</v>
      </c>
      <c r="B14" t="s">
        <v>24</v>
      </c>
      <c r="C14" t="s">
        <v>25</v>
      </c>
      <c r="D14">
        <v>14</v>
      </c>
      <c r="E14">
        <v>3</v>
      </c>
      <c r="F14" t="s">
        <v>17</v>
      </c>
      <c r="G14">
        <v>3</v>
      </c>
      <c r="H14">
        <v>93.89</v>
      </c>
      <c r="I14">
        <v>29.128</v>
      </c>
      <c r="J14">
        <v>38.576000000000001</v>
      </c>
      <c r="K14">
        <v>26.186</v>
      </c>
      <c r="L14" t="s">
        <v>18</v>
      </c>
      <c r="N14">
        <v>1.5449999999999999</v>
      </c>
      <c r="O14" t="str">
        <f t="shared" si="0"/>
        <v>OK</v>
      </c>
      <c r="R14">
        <f t="shared" si="1"/>
        <v>13</v>
      </c>
    </row>
    <row r="15" spans="1:18" x14ac:dyDescent="0.3">
      <c r="A15" t="s">
        <v>26</v>
      </c>
      <c r="B15" t="s">
        <v>27</v>
      </c>
      <c r="C15" t="s">
        <v>28</v>
      </c>
      <c r="D15">
        <v>16</v>
      </c>
      <c r="E15">
        <v>3</v>
      </c>
      <c r="F15" t="s">
        <v>17</v>
      </c>
      <c r="G15">
        <v>3</v>
      </c>
      <c r="H15">
        <v>94.034000000000006</v>
      </c>
      <c r="I15">
        <v>29.253</v>
      </c>
      <c r="J15">
        <v>38.646999999999998</v>
      </c>
      <c r="K15">
        <v>26.134</v>
      </c>
      <c r="L15" t="s">
        <v>18</v>
      </c>
      <c r="N15">
        <v>1.8859999999999999</v>
      </c>
      <c r="O15" t="str">
        <f t="shared" si="0"/>
        <v>OK</v>
      </c>
      <c r="R15">
        <f t="shared" si="1"/>
        <v>14</v>
      </c>
    </row>
    <row r="16" spans="1:18" x14ac:dyDescent="0.3">
      <c r="A16" t="s">
        <v>29</v>
      </c>
      <c r="B16" t="s">
        <v>30</v>
      </c>
      <c r="C16" t="s">
        <v>31</v>
      </c>
      <c r="D16">
        <v>4</v>
      </c>
      <c r="E16">
        <v>3</v>
      </c>
      <c r="F16" t="s">
        <v>22</v>
      </c>
      <c r="G16">
        <v>3</v>
      </c>
      <c r="H16">
        <v>95.399000000000001</v>
      </c>
      <c r="I16">
        <v>29.486000000000001</v>
      </c>
      <c r="J16">
        <v>39.237000000000002</v>
      </c>
      <c r="K16">
        <v>26.675000000000001</v>
      </c>
      <c r="L16" t="s">
        <v>18</v>
      </c>
      <c r="N16">
        <v>6.7889999999999997</v>
      </c>
      <c r="O16" t="str">
        <f t="shared" si="0"/>
        <v>OK</v>
      </c>
      <c r="R16">
        <f t="shared" si="1"/>
        <v>15</v>
      </c>
    </row>
    <row r="17" spans="1:18" x14ac:dyDescent="0.3">
      <c r="A17" t="s">
        <v>14</v>
      </c>
      <c r="B17" t="s">
        <v>15</v>
      </c>
      <c r="C17" t="s">
        <v>16</v>
      </c>
      <c r="D17">
        <v>1</v>
      </c>
      <c r="E17">
        <v>4</v>
      </c>
      <c r="F17" t="s">
        <v>17</v>
      </c>
      <c r="G17">
        <v>4</v>
      </c>
      <c r="H17">
        <v>93.180999999999997</v>
      </c>
      <c r="I17">
        <v>28.831</v>
      </c>
      <c r="J17">
        <v>38.098999999999997</v>
      </c>
      <c r="K17">
        <v>26.251000000000001</v>
      </c>
      <c r="L17" t="s">
        <v>18</v>
      </c>
      <c r="N17">
        <v>0</v>
      </c>
      <c r="O17" t="str">
        <f t="shared" si="0"/>
        <v>OK</v>
      </c>
      <c r="R17">
        <f t="shared" si="1"/>
        <v>16</v>
      </c>
    </row>
    <row r="18" spans="1:18" x14ac:dyDescent="0.3">
      <c r="A18" t="s">
        <v>19</v>
      </c>
      <c r="B18" t="s">
        <v>20</v>
      </c>
      <c r="C18" t="s">
        <v>21</v>
      </c>
      <c r="D18">
        <v>44</v>
      </c>
      <c r="E18">
        <v>4</v>
      </c>
      <c r="F18" t="s">
        <v>22</v>
      </c>
      <c r="G18">
        <v>4</v>
      </c>
      <c r="H18">
        <v>95.076999999999998</v>
      </c>
      <c r="I18">
        <v>29.399000000000001</v>
      </c>
      <c r="J18">
        <v>38.927</v>
      </c>
      <c r="K18">
        <v>26.751000000000001</v>
      </c>
      <c r="L18" t="s">
        <v>18</v>
      </c>
      <c r="N18">
        <v>7.1630000000000003</v>
      </c>
      <c r="O18" t="str">
        <f t="shared" si="0"/>
        <v>OK</v>
      </c>
      <c r="R18">
        <f t="shared" si="1"/>
        <v>17</v>
      </c>
    </row>
    <row r="19" spans="1:18" x14ac:dyDescent="0.3">
      <c r="A19" t="s">
        <v>23</v>
      </c>
      <c r="B19" t="s">
        <v>24</v>
      </c>
      <c r="C19" t="s">
        <v>25</v>
      </c>
      <c r="D19">
        <v>14</v>
      </c>
      <c r="E19">
        <v>4</v>
      </c>
      <c r="F19" t="s">
        <v>17</v>
      </c>
      <c r="G19">
        <v>4</v>
      </c>
      <c r="H19">
        <v>94.179000000000002</v>
      </c>
      <c r="I19">
        <v>29.172000000000001</v>
      </c>
      <c r="J19">
        <v>38.395000000000003</v>
      </c>
      <c r="K19">
        <v>26.611999999999998</v>
      </c>
      <c r="L19" t="s">
        <v>18</v>
      </c>
      <c r="N19">
        <v>2.544</v>
      </c>
      <c r="O19" t="str">
        <f t="shared" si="0"/>
        <v>OK</v>
      </c>
      <c r="R19">
        <f t="shared" si="1"/>
        <v>18</v>
      </c>
    </row>
    <row r="20" spans="1:18" x14ac:dyDescent="0.3">
      <c r="A20" t="s">
        <v>26</v>
      </c>
      <c r="B20" t="s">
        <v>27</v>
      </c>
      <c r="C20" t="s">
        <v>28</v>
      </c>
      <c r="D20">
        <v>16</v>
      </c>
      <c r="E20">
        <v>4</v>
      </c>
      <c r="F20" t="s">
        <v>17</v>
      </c>
      <c r="G20">
        <v>4</v>
      </c>
      <c r="H20">
        <v>93.731999999999999</v>
      </c>
      <c r="I20">
        <v>29.231999999999999</v>
      </c>
      <c r="J20">
        <v>38.456000000000003</v>
      </c>
      <c r="K20">
        <v>26.044</v>
      </c>
      <c r="L20" t="s">
        <v>18</v>
      </c>
      <c r="N20">
        <v>2.4369999999999998</v>
      </c>
      <c r="O20" t="str">
        <f t="shared" si="0"/>
        <v>OK</v>
      </c>
      <c r="R20">
        <f t="shared" si="1"/>
        <v>19</v>
      </c>
    </row>
    <row r="21" spans="1:18" x14ac:dyDescent="0.3">
      <c r="A21" t="s">
        <v>29</v>
      </c>
      <c r="B21" t="s">
        <v>30</v>
      </c>
      <c r="C21" t="s">
        <v>31</v>
      </c>
      <c r="D21">
        <v>4</v>
      </c>
      <c r="E21">
        <v>4</v>
      </c>
      <c r="F21" t="s">
        <v>22</v>
      </c>
      <c r="G21">
        <v>4</v>
      </c>
      <c r="H21">
        <v>95.221999999999994</v>
      </c>
      <c r="I21">
        <v>29.437999999999999</v>
      </c>
      <c r="J21">
        <v>39.113999999999997</v>
      </c>
      <c r="K21">
        <v>26.67</v>
      </c>
      <c r="L21" t="s">
        <v>18</v>
      </c>
      <c r="N21">
        <v>8.8309999999999995</v>
      </c>
      <c r="O21" t="str">
        <f t="shared" si="0"/>
        <v>OK</v>
      </c>
      <c r="R21">
        <f t="shared" si="1"/>
        <v>20</v>
      </c>
    </row>
    <row r="22" spans="1:18" x14ac:dyDescent="0.3">
      <c r="A22" t="s">
        <v>14</v>
      </c>
      <c r="B22" t="s">
        <v>15</v>
      </c>
      <c r="C22" t="s">
        <v>16</v>
      </c>
      <c r="D22">
        <v>1</v>
      </c>
      <c r="E22">
        <v>5</v>
      </c>
      <c r="F22" t="s">
        <v>17</v>
      </c>
      <c r="G22">
        <v>5</v>
      </c>
      <c r="H22">
        <v>93.210999999999999</v>
      </c>
      <c r="I22">
        <v>28.925999999999998</v>
      </c>
      <c r="J22">
        <v>38.131999999999998</v>
      </c>
      <c r="K22">
        <v>26.152999999999999</v>
      </c>
      <c r="L22" t="s">
        <v>18</v>
      </c>
      <c r="N22">
        <v>0</v>
      </c>
      <c r="O22" t="str">
        <f t="shared" si="0"/>
        <v>OK</v>
      </c>
      <c r="R22">
        <f t="shared" si="1"/>
        <v>21</v>
      </c>
    </row>
    <row r="23" spans="1:18" x14ac:dyDescent="0.3">
      <c r="A23" t="s">
        <v>19</v>
      </c>
      <c r="B23" t="s">
        <v>20</v>
      </c>
      <c r="C23" t="s">
        <v>21</v>
      </c>
      <c r="D23">
        <v>44</v>
      </c>
      <c r="E23">
        <v>5</v>
      </c>
      <c r="F23" t="s">
        <v>22</v>
      </c>
      <c r="G23">
        <v>5</v>
      </c>
      <c r="H23">
        <v>95.254999999999995</v>
      </c>
      <c r="I23">
        <v>29.576000000000001</v>
      </c>
      <c r="J23">
        <v>39.064999999999998</v>
      </c>
      <c r="K23">
        <v>26.614999999999998</v>
      </c>
      <c r="L23" t="s">
        <v>18</v>
      </c>
      <c r="N23">
        <v>9.2070000000000007</v>
      </c>
      <c r="O23" t="str">
        <f t="shared" si="0"/>
        <v>OK</v>
      </c>
      <c r="R23">
        <f t="shared" si="1"/>
        <v>22</v>
      </c>
    </row>
    <row r="24" spans="1:18" x14ac:dyDescent="0.3">
      <c r="A24" t="s">
        <v>23</v>
      </c>
      <c r="B24" t="s">
        <v>24</v>
      </c>
      <c r="C24" t="s">
        <v>25</v>
      </c>
      <c r="D24">
        <v>14</v>
      </c>
      <c r="E24">
        <v>5</v>
      </c>
      <c r="F24" t="s">
        <v>17</v>
      </c>
      <c r="G24">
        <v>5</v>
      </c>
      <c r="H24">
        <v>93.792000000000002</v>
      </c>
      <c r="I24">
        <v>29.018000000000001</v>
      </c>
      <c r="J24">
        <v>38.357999999999997</v>
      </c>
      <c r="K24">
        <v>26.416</v>
      </c>
      <c r="L24" t="s">
        <v>18</v>
      </c>
      <c r="N24">
        <v>3.125</v>
      </c>
      <c r="O24" t="str">
        <f t="shared" si="0"/>
        <v>OK</v>
      </c>
      <c r="R24">
        <f t="shared" si="1"/>
        <v>23</v>
      </c>
    </row>
    <row r="25" spans="1:18" x14ac:dyDescent="0.3">
      <c r="A25" t="s">
        <v>26</v>
      </c>
      <c r="B25" t="s">
        <v>27</v>
      </c>
      <c r="C25" t="s">
        <v>28</v>
      </c>
      <c r="D25">
        <v>16</v>
      </c>
      <c r="E25">
        <v>5</v>
      </c>
      <c r="F25" t="s">
        <v>17</v>
      </c>
      <c r="G25">
        <v>5</v>
      </c>
      <c r="H25">
        <v>93.832999999999998</v>
      </c>
      <c r="I25">
        <v>29.31</v>
      </c>
      <c r="J25">
        <v>38.566000000000003</v>
      </c>
      <c r="K25">
        <v>25.957000000000001</v>
      </c>
      <c r="L25" t="s">
        <v>18</v>
      </c>
      <c r="N25">
        <v>3.06</v>
      </c>
      <c r="O25" t="str">
        <f t="shared" si="0"/>
        <v>OK</v>
      </c>
      <c r="R25">
        <f t="shared" si="1"/>
        <v>24</v>
      </c>
    </row>
    <row r="26" spans="1:18" x14ac:dyDescent="0.3">
      <c r="A26" t="s">
        <v>29</v>
      </c>
      <c r="B26" t="s">
        <v>30</v>
      </c>
      <c r="C26" t="s">
        <v>31</v>
      </c>
      <c r="D26">
        <v>4</v>
      </c>
      <c r="E26">
        <v>5</v>
      </c>
      <c r="F26" t="s">
        <v>22</v>
      </c>
      <c r="G26">
        <v>5</v>
      </c>
      <c r="H26">
        <v>95.623000000000005</v>
      </c>
      <c r="I26">
        <v>29.463999999999999</v>
      </c>
      <c r="J26">
        <v>39.210999999999999</v>
      </c>
      <c r="K26">
        <v>26.948</v>
      </c>
      <c r="L26" t="s">
        <v>18</v>
      </c>
      <c r="N26">
        <v>11.243</v>
      </c>
      <c r="O26" t="str">
        <f t="shared" si="0"/>
        <v>OK</v>
      </c>
      <c r="R26">
        <f t="shared" si="1"/>
        <v>25</v>
      </c>
    </row>
    <row r="27" spans="1:18" x14ac:dyDescent="0.3">
      <c r="A27" t="s">
        <v>14</v>
      </c>
      <c r="B27" t="s">
        <v>15</v>
      </c>
      <c r="C27" t="s">
        <v>16</v>
      </c>
      <c r="D27">
        <v>1</v>
      </c>
      <c r="E27">
        <v>6</v>
      </c>
      <c r="F27" t="s">
        <v>17</v>
      </c>
      <c r="G27">
        <v>6</v>
      </c>
      <c r="H27">
        <v>93.174999999999997</v>
      </c>
      <c r="I27">
        <v>28.866</v>
      </c>
      <c r="J27">
        <v>38.183999999999997</v>
      </c>
      <c r="K27">
        <v>26.125</v>
      </c>
      <c r="L27" t="s">
        <v>18</v>
      </c>
      <c r="N27">
        <v>0</v>
      </c>
      <c r="O27" t="str">
        <f t="shared" si="0"/>
        <v>OK</v>
      </c>
      <c r="R27">
        <f t="shared" si="1"/>
        <v>26</v>
      </c>
    </row>
    <row r="28" spans="1:18" x14ac:dyDescent="0.3">
      <c r="A28" t="s">
        <v>19</v>
      </c>
      <c r="B28" t="s">
        <v>20</v>
      </c>
      <c r="C28" t="s">
        <v>21</v>
      </c>
      <c r="D28">
        <v>44</v>
      </c>
      <c r="E28">
        <v>6</v>
      </c>
      <c r="F28" t="s">
        <v>22</v>
      </c>
      <c r="G28">
        <v>6</v>
      </c>
      <c r="H28">
        <v>95.301000000000002</v>
      </c>
      <c r="I28">
        <v>29.516999999999999</v>
      </c>
      <c r="J28">
        <v>38.973999999999997</v>
      </c>
      <c r="K28">
        <v>26.81</v>
      </c>
      <c r="L28" t="s">
        <v>18</v>
      </c>
      <c r="N28">
        <v>11.334</v>
      </c>
      <c r="O28" t="str">
        <f t="shared" si="0"/>
        <v>OK</v>
      </c>
      <c r="R28">
        <f t="shared" si="1"/>
        <v>27</v>
      </c>
    </row>
    <row r="29" spans="1:18" x14ac:dyDescent="0.3">
      <c r="A29" t="s">
        <v>23</v>
      </c>
      <c r="B29" t="s">
        <v>24</v>
      </c>
      <c r="C29" t="s">
        <v>25</v>
      </c>
      <c r="D29">
        <v>14</v>
      </c>
      <c r="E29">
        <v>6</v>
      </c>
      <c r="F29" t="s">
        <v>17</v>
      </c>
      <c r="G29">
        <v>6</v>
      </c>
      <c r="H29">
        <v>94.146000000000001</v>
      </c>
      <c r="I29">
        <v>29.146999999999998</v>
      </c>
      <c r="J29">
        <v>38.529000000000003</v>
      </c>
      <c r="K29">
        <v>26.47</v>
      </c>
      <c r="L29" t="s">
        <v>18</v>
      </c>
      <c r="N29">
        <v>4.0960000000000001</v>
      </c>
      <c r="O29" t="str">
        <f t="shared" si="0"/>
        <v>OK</v>
      </c>
      <c r="R29">
        <f t="shared" si="1"/>
        <v>28</v>
      </c>
    </row>
    <row r="30" spans="1:18" x14ac:dyDescent="0.3">
      <c r="A30" t="s">
        <v>26</v>
      </c>
      <c r="B30" t="s">
        <v>27</v>
      </c>
      <c r="C30" t="s">
        <v>28</v>
      </c>
      <c r="D30">
        <v>16</v>
      </c>
      <c r="E30">
        <v>6</v>
      </c>
      <c r="F30" t="s">
        <v>17</v>
      </c>
      <c r="G30">
        <v>6</v>
      </c>
      <c r="H30">
        <v>94.108000000000004</v>
      </c>
      <c r="I30">
        <v>29.155000000000001</v>
      </c>
      <c r="J30">
        <v>38.469000000000001</v>
      </c>
      <c r="K30">
        <v>26.484999999999999</v>
      </c>
      <c r="L30" t="s">
        <v>18</v>
      </c>
      <c r="N30">
        <v>3.9929999999999999</v>
      </c>
      <c r="O30" t="str">
        <f t="shared" si="0"/>
        <v>OK</v>
      </c>
      <c r="R30">
        <f t="shared" si="1"/>
        <v>29</v>
      </c>
    </row>
    <row r="31" spans="1:18" x14ac:dyDescent="0.3">
      <c r="A31" t="s">
        <v>29</v>
      </c>
      <c r="B31" t="s">
        <v>30</v>
      </c>
      <c r="C31" t="s">
        <v>31</v>
      </c>
      <c r="D31">
        <v>4</v>
      </c>
      <c r="E31">
        <v>6</v>
      </c>
      <c r="F31" t="s">
        <v>22</v>
      </c>
      <c r="G31">
        <v>6</v>
      </c>
      <c r="H31">
        <v>95.605000000000004</v>
      </c>
      <c r="I31">
        <v>29.492999999999999</v>
      </c>
      <c r="J31">
        <v>39.262</v>
      </c>
      <c r="K31">
        <v>26.85</v>
      </c>
      <c r="L31" t="s">
        <v>18</v>
      </c>
      <c r="N31">
        <v>13.673</v>
      </c>
      <c r="O31" t="str">
        <f t="shared" si="0"/>
        <v>OK</v>
      </c>
      <c r="R31">
        <f t="shared" si="1"/>
        <v>30</v>
      </c>
    </row>
    <row r="32" spans="1:18" x14ac:dyDescent="0.3">
      <c r="A32" t="s">
        <v>14</v>
      </c>
      <c r="B32" t="s">
        <v>15</v>
      </c>
      <c r="C32" t="s">
        <v>16</v>
      </c>
      <c r="D32">
        <v>1</v>
      </c>
      <c r="E32">
        <v>7</v>
      </c>
      <c r="F32" t="s">
        <v>17</v>
      </c>
      <c r="G32">
        <v>7</v>
      </c>
      <c r="H32">
        <v>93.512</v>
      </c>
      <c r="I32">
        <v>28.962</v>
      </c>
      <c r="J32">
        <v>38.021000000000001</v>
      </c>
      <c r="K32">
        <v>26.529</v>
      </c>
      <c r="L32" t="s">
        <v>18</v>
      </c>
      <c r="N32">
        <v>0</v>
      </c>
      <c r="O32" t="str">
        <f t="shared" si="0"/>
        <v>OK</v>
      </c>
      <c r="R32">
        <f t="shared" si="1"/>
        <v>31</v>
      </c>
    </row>
    <row r="33" spans="1:18" x14ac:dyDescent="0.3">
      <c r="A33" t="s">
        <v>19</v>
      </c>
      <c r="B33" t="s">
        <v>20</v>
      </c>
      <c r="C33" t="s">
        <v>21</v>
      </c>
      <c r="D33">
        <v>44</v>
      </c>
      <c r="E33">
        <v>7</v>
      </c>
      <c r="F33" t="s">
        <v>22</v>
      </c>
      <c r="G33">
        <v>7</v>
      </c>
      <c r="H33">
        <v>95.269000000000005</v>
      </c>
      <c r="I33">
        <v>29.401</v>
      </c>
      <c r="J33">
        <v>38.994999999999997</v>
      </c>
      <c r="K33">
        <v>26.873000000000001</v>
      </c>
      <c r="L33" t="s">
        <v>18</v>
      </c>
      <c r="N33">
        <v>13.090999999999999</v>
      </c>
      <c r="O33" t="str">
        <f t="shared" si="0"/>
        <v>OK</v>
      </c>
      <c r="R33">
        <f t="shared" si="1"/>
        <v>32</v>
      </c>
    </row>
    <row r="34" spans="1:18" x14ac:dyDescent="0.3">
      <c r="A34" t="s">
        <v>23</v>
      </c>
      <c r="B34" t="s">
        <v>24</v>
      </c>
      <c r="C34" t="s">
        <v>25</v>
      </c>
      <c r="D34">
        <v>14</v>
      </c>
      <c r="E34">
        <v>7</v>
      </c>
      <c r="F34" t="s">
        <v>17</v>
      </c>
      <c r="G34">
        <v>7</v>
      </c>
      <c r="H34">
        <v>94.28</v>
      </c>
      <c r="I34">
        <v>29.259</v>
      </c>
      <c r="J34">
        <v>38.56</v>
      </c>
      <c r="K34">
        <v>26.460999999999999</v>
      </c>
      <c r="L34" t="s">
        <v>18</v>
      </c>
      <c r="N34">
        <v>4.8639999999999999</v>
      </c>
      <c r="O34" t="str">
        <f t="shared" si="0"/>
        <v>OK</v>
      </c>
      <c r="R34">
        <f t="shared" si="1"/>
        <v>33</v>
      </c>
    </row>
    <row r="35" spans="1:18" x14ac:dyDescent="0.3">
      <c r="A35" t="s">
        <v>26</v>
      </c>
      <c r="B35" t="s">
        <v>27</v>
      </c>
      <c r="C35" t="s">
        <v>28</v>
      </c>
      <c r="D35">
        <v>16</v>
      </c>
      <c r="E35">
        <v>7</v>
      </c>
      <c r="F35" t="s">
        <v>17</v>
      </c>
      <c r="G35">
        <v>7</v>
      </c>
      <c r="H35">
        <v>94.188999999999993</v>
      </c>
      <c r="I35">
        <v>29.157</v>
      </c>
      <c r="J35">
        <v>38.523000000000003</v>
      </c>
      <c r="K35">
        <v>26.507999999999999</v>
      </c>
      <c r="L35" t="s">
        <v>18</v>
      </c>
      <c r="N35">
        <v>4.6710000000000003</v>
      </c>
      <c r="O35" t="str">
        <f t="shared" si="0"/>
        <v>OK</v>
      </c>
      <c r="R35">
        <f t="shared" si="1"/>
        <v>34</v>
      </c>
    </row>
    <row r="36" spans="1:18" x14ac:dyDescent="0.3">
      <c r="A36" t="s">
        <v>29</v>
      </c>
      <c r="B36" t="s">
        <v>30</v>
      </c>
      <c r="C36" t="s">
        <v>31</v>
      </c>
      <c r="D36">
        <v>4</v>
      </c>
      <c r="E36">
        <v>7</v>
      </c>
      <c r="F36" t="s">
        <v>22</v>
      </c>
      <c r="G36">
        <v>7</v>
      </c>
      <c r="H36">
        <v>95.430999999999997</v>
      </c>
      <c r="I36">
        <v>29.420999999999999</v>
      </c>
      <c r="J36">
        <v>39.25</v>
      </c>
      <c r="K36">
        <v>26.76</v>
      </c>
      <c r="L36" t="s">
        <v>18</v>
      </c>
      <c r="N36">
        <v>15.593</v>
      </c>
      <c r="O36" t="str">
        <f t="shared" si="0"/>
        <v>OK</v>
      </c>
      <c r="R36">
        <f t="shared" si="1"/>
        <v>35</v>
      </c>
    </row>
    <row r="37" spans="1:18" x14ac:dyDescent="0.3">
      <c r="A37" t="s">
        <v>14</v>
      </c>
      <c r="B37" t="s">
        <v>15</v>
      </c>
      <c r="C37" t="s">
        <v>16</v>
      </c>
      <c r="D37">
        <v>1</v>
      </c>
      <c r="E37">
        <v>8</v>
      </c>
      <c r="F37" t="s">
        <v>17</v>
      </c>
      <c r="G37">
        <v>8</v>
      </c>
      <c r="H37">
        <v>93.402000000000001</v>
      </c>
      <c r="I37">
        <v>29.004000000000001</v>
      </c>
      <c r="J37">
        <v>37.953000000000003</v>
      </c>
      <c r="K37">
        <v>26.445</v>
      </c>
      <c r="L37" t="s">
        <v>18</v>
      </c>
      <c r="N37">
        <v>0</v>
      </c>
      <c r="O37" t="str">
        <f t="shared" si="0"/>
        <v>OK</v>
      </c>
      <c r="R37">
        <f t="shared" si="1"/>
        <v>36</v>
      </c>
    </row>
    <row r="38" spans="1:18" x14ac:dyDescent="0.3">
      <c r="A38" t="s">
        <v>19</v>
      </c>
      <c r="B38" t="s">
        <v>20</v>
      </c>
      <c r="C38" t="s">
        <v>21</v>
      </c>
      <c r="D38">
        <v>44</v>
      </c>
      <c r="E38">
        <v>8</v>
      </c>
      <c r="F38" t="s">
        <v>22</v>
      </c>
      <c r="G38">
        <v>8</v>
      </c>
      <c r="H38">
        <v>95.513000000000005</v>
      </c>
      <c r="I38">
        <v>29.428999999999998</v>
      </c>
      <c r="J38">
        <v>38.802</v>
      </c>
      <c r="K38">
        <v>27.282</v>
      </c>
      <c r="L38" t="s">
        <v>18</v>
      </c>
      <c r="N38">
        <v>15.202</v>
      </c>
      <c r="O38" t="str">
        <f t="shared" si="0"/>
        <v>OK</v>
      </c>
      <c r="R38">
        <f t="shared" si="1"/>
        <v>37</v>
      </c>
    </row>
    <row r="39" spans="1:18" x14ac:dyDescent="0.3">
      <c r="A39" t="s">
        <v>23</v>
      </c>
      <c r="B39" t="s">
        <v>24</v>
      </c>
      <c r="C39" t="s">
        <v>25</v>
      </c>
      <c r="D39">
        <v>14</v>
      </c>
      <c r="E39">
        <v>8</v>
      </c>
      <c r="F39" t="s">
        <v>17</v>
      </c>
      <c r="G39">
        <v>8</v>
      </c>
      <c r="H39">
        <v>94.007000000000005</v>
      </c>
      <c r="I39">
        <v>29.038</v>
      </c>
      <c r="J39">
        <v>38.423000000000002</v>
      </c>
      <c r="K39">
        <v>26.547000000000001</v>
      </c>
      <c r="L39" t="s">
        <v>18</v>
      </c>
      <c r="N39">
        <v>5.4690000000000003</v>
      </c>
      <c r="O39" t="str">
        <f t="shared" si="0"/>
        <v>OK</v>
      </c>
      <c r="R39">
        <f t="shared" si="1"/>
        <v>38</v>
      </c>
    </row>
    <row r="40" spans="1:18" x14ac:dyDescent="0.3">
      <c r="A40" t="s">
        <v>26</v>
      </c>
      <c r="B40" t="s">
        <v>27</v>
      </c>
      <c r="C40" t="s">
        <v>28</v>
      </c>
      <c r="D40">
        <v>16</v>
      </c>
      <c r="E40">
        <v>8</v>
      </c>
      <c r="F40" t="s">
        <v>17</v>
      </c>
      <c r="G40">
        <v>8</v>
      </c>
      <c r="H40">
        <v>94.366</v>
      </c>
      <c r="I40">
        <v>29.158999999999999</v>
      </c>
      <c r="J40">
        <v>38.384</v>
      </c>
      <c r="K40">
        <v>26.823</v>
      </c>
      <c r="L40" t="s">
        <v>18</v>
      </c>
      <c r="N40">
        <v>5.6349999999999998</v>
      </c>
      <c r="O40" t="str">
        <f t="shared" si="0"/>
        <v>OK</v>
      </c>
      <c r="R40">
        <f t="shared" si="1"/>
        <v>39</v>
      </c>
    </row>
    <row r="41" spans="1:18" x14ac:dyDescent="0.3">
      <c r="A41" t="s">
        <v>29</v>
      </c>
      <c r="B41" t="s">
        <v>30</v>
      </c>
      <c r="C41" t="s">
        <v>31</v>
      </c>
      <c r="D41">
        <v>4</v>
      </c>
      <c r="E41">
        <v>8</v>
      </c>
      <c r="F41" t="s">
        <v>22</v>
      </c>
      <c r="G41">
        <v>8</v>
      </c>
      <c r="H41">
        <v>95.59</v>
      </c>
      <c r="I41">
        <v>29.63</v>
      </c>
      <c r="J41">
        <v>39.274000000000001</v>
      </c>
      <c r="K41">
        <v>26.687000000000001</v>
      </c>
      <c r="L41" t="s">
        <v>18</v>
      </c>
      <c r="N41">
        <v>17.782</v>
      </c>
      <c r="O41" t="str">
        <f t="shared" si="0"/>
        <v>OK</v>
      </c>
      <c r="R41">
        <f t="shared" si="1"/>
        <v>40</v>
      </c>
    </row>
    <row r="42" spans="1:18" x14ac:dyDescent="0.3">
      <c r="A42" t="s">
        <v>14</v>
      </c>
      <c r="B42" t="s">
        <v>15</v>
      </c>
      <c r="C42" t="s">
        <v>16</v>
      </c>
      <c r="D42">
        <v>1</v>
      </c>
      <c r="E42">
        <v>9</v>
      </c>
      <c r="F42" t="s">
        <v>17</v>
      </c>
      <c r="G42">
        <v>9</v>
      </c>
      <c r="H42">
        <v>93.299000000000007</v>
      </c>
      <c r="I42">
        <v>28.802</v>
      </c>
      <c r="J42">
        <v>38.17</v>
      </c>
      <c r="K42">
        <v>26.327999999999999</v>
      </c>
      <c r="L42" t="s">
        <v>18</v>
      </c>
      <c r="N42">
        <v>0</v>
      </c>
      <c r="O42" t="str">
        <f t="shared" si="0"/>
        <v>OK</v>
      </c>
      <c r="R42">
        <f t="shared" si="1"/>
        <v>41</v>
      </c>
    </row>
    <row r="43" spans="1:18" x14ac:dyDescent="0.3">
      <c r="A43" t="s">
        <v>19</v>
      </c>
      <c r="B43" t="s">
        <v>20</v>
      </c>
      <c r="C43" t="s">
        <v>21</v>
      </c>
      <c r="D43">
        <v>44</v>
      </c>
      <c r="E43">
        <v>9</v>
      </c>
      <c r="F43" t="s">
        <v>22</v>
      </c>
      <c r="G43">
        <v>9</v>
      </c>
      <c r="H43">
        <v>95.117999999999995</v>
      </c>
      <c r="I43">
        <v>29.308</v>
      </c>
      <c r="J43">
        <v>39.015000000000001</v>
      </c>
      <c r="K43">
        <v>26.794</v>
      </c>
      <c r="L43" t="s">
        <v>18</v>
      </c>
      <c r="N43">
        <v>17.02</v>
      </c>
      <c r="O43" t="str">
        <f t="shared" si="0"/>
        <v>OK</v>
      </c>
      <c r="R43">
        <f t="shared" si="1"/>
        <v>42</v>
      </c>
    </row>
    <row r="44" spans="1:18" x14ac:dyDescent="0.3">
      <c r="A44" t="s">
        <v>23</v>
      </c>
      <c r="B44" t="s">
        <v>24</v>
      </c>
      <c r="C44" t="s">
        <v>25</v>
      </c>
      <c r="D44">
        <v>14</v>
      </c>
      <c r="E44">
        <v>9</v>
      </c>
      <c r="F44" t="s">
        <v>17</v>
      </c>
      <c r="G44">
        <v>9</v>
      </c>
      <c r="H44">
        <v>94.492999999999995</v>
      </c>
      <c r="I44">
        <v>29.157</v>
      </c>
      <c r="J44">
        <v>38.552999999999997</v>
      </c>
      <c r="K44">
        <v>26.783000000000001</v>
      </c>
      <c r="L44" t="s">
        <v>18</v>
      </c>
      <c r="N44">
        <v>6.6630000000000003</v>
      </c>
      <c r="O44" t="str">
        <f t="shared" si="0"/>
        <v>OK</v>
      </c>
      <c r="R44">
        <f t="shared" si="1"/>
        <v>43</v>
      </c>
    </row>
    <row r="45" spans="1:18" x14ac:dyDescent="0.3">
      <c r="A45" t="s">
        <v>26</v>
      </c>
      <c r="B45" t="s">
        <v>27</v>
      </c>
      <c r="C45" t="s">
        <v>28</v>
      </c>
      <c r="D45">
        <v>16</v>
      </c>
      <c r="E45">
        <v>9</v>
      </c>
      <c r="F45" t="s">
        <v>17</v>
      </c>
      <c r="G45">
        <v>9</v>
      </c>
      <c r="H45">
        <v>94.742000000000004</v>
      </c>
      <c r="I45">
        <v>29.225999999999999</v>
      </c>
      <c r="J45">
        <v>38.515000000000001</v>
      </c>
      <c r="K45">
        <v>27.001000000000001</v>
      </c>
      <c r="L45" t="s">
        <v>18</v>
      </c>
      <c r="N45">
        <v>7.0780000000000003</v>
      </c>
      <c r="O45" t="str">
        <f t="shared" si="0"/>
        <v>OK</v>
      </c>
      <c r="R45">
        <f t="shared" si="1"/>
        <v>44</v>
      </c>
    </row>
    <row r="46" spans="1:18" x14ac:dyDescent="0.3">
      <c r="A46" t="s">
        <v>29</v>
      </c>
      <c r="B46" t="s">
        <v>30</v>
      </c>
      <c r="C46" t="s">
        <v>31</v>
      </c>
      <c r="D46">
        <v>4</v>
      </c>
      <c r="E46">
        <v>9</v>
      </c>
      <c r="F46" t="s">
        <v>22</v>
      </c>
      <c r="G46">
        <v>9</v>
      </c>
      <c r="H46">
        <v>96.046000000000006</v>
      </c>
      <c r="I46">
        <v>29.663</v>
      </c>
      <c r="J46">
        <v>39.152999999999999</v>
      </c>
      <c r="K46">
        <v>27.23</v>
      </c>
      <c r="L46" t="s">
        <v>18</v>
      </c>
      <c r="N46">
        <v>20.527999999999999</v>
      </c>
      <c r="O46" t="str">
        <f t="shared" si="0"/>
        <v>OK</v>
      </c>
      <c r="R46">
        <f t="shared" si="1"/>
        <v>45</v>
      </c>
    </row>
    <row r="47" spans="1:18" x14ac:dyDescent="0.3">
      <c r="A47" t="s">
        <v>14</v>
      </c>
      <c r="B47" t="s">
        <v>15</v>
      </c>
      <c r="C47" t="s">
        <v>16</v>
      </c>
      <c r="D47">
        <v>1</v>
      </c>
      <c r="E47">
        <v>10</v>
      </c>
      <c r="F47" t="s">
        <v>17</v>
      </c>
      <c r="G47">
        <v>10</v>
      </c>
      <c r="H47">
        <v>93.337000000000003</v>
      </c>
      <c r="I47">
        <v>28.989000000000001</v>
      </c>
      <c r="J47">
        <v>38.088999999999999</v>
      </c>
      <c r="K47">
        <v>26.26</v>
      </c>
      <c r="L47" t="s">
        <v>18</v>
      </c>
      <c r="N47">
        <v>0</v>
      </c>
      <c r="O47" t="str">
        <f t="shared" si="0"/>
        <v>OK</v>
      </c>
      <c r="R47">
        <f t="shared" si="1"/>
        <v>46</v>
      </c>
    </row>
    <row r="48" spans="1:18" x14ac:dyDescent="0.3">
      <c r="A48" t="s">
        <v>19</v>
      </c>
      <c r="B48" t="s">
        <v>20</v>
      </c>
      <c r="C48" t="s">
        <v>21</v>
      </c>
      <c r="D48">
        <v>44</v>
      </c>
      <c r="E48">
        <v>10</v>
      </c>
      <c r="F48" t="s">
        <v>22</v>
      </c>
      <c r="G48">
        <v>10</v>
      </c>
      <c r="H48">
        <v>95.635000000000005</v>
      </c>
      <c r="I48">
        <v>29.395</v>
      </c>
      <c r="J48">
        <v>39.073999999999998</v>
      </c>
      <c r="K48">
        <v>27.164999999999999</v>
      </c>
      <c r="L48" t="s">
        <v>18</v>
      </c>
      <c r="N48">
        <v>19.317</v>
      </c>
      <c r="O48" t="str">
        <f t="shared" si="0"/>
        <v>OK</v>
      </c>
      <c r="R48">
        <f t="shared" si="1"/>
        <v>47</v>
      </c>
    </row>
    <row r="49" spans="1:18" x14ac:dyDescent="0.3">
      <c r="A49" t="s">
        <v>23</v>
      </c>
      <c r="B49" t="s">
        <v>24</v>
      </c>
      <c r="C49" t="s">
        <v>25</v>
      </c>
      <c r="D49">
        <v>14</v>
      </c>
      <c r="E49">
        <v>10</v>
      </c>
      <c r="F49" t="s">
        <v>17</v>
      </c>
      <c r="G49">
        <v>10</v>
      </c>
      <c r="H49">
        <v>94.495000000000005</v>
      </c>
      <c r="I49">
        <v>29.206</v>
      </c>
      <c r="J49">
        <v>38.622</v>
      </c>
      <c r="K49">
        <v>26.667000000000002</v>
      </c>
      <c r="L49" t="s">
        <v>18</v>
      </c>
      <c r="N49">
        <v>7.82</v>
      </c>
      <c r="O49" t="str">
        <f t="shared" si="0"/>
        <v>OK</v>
      </c>
      <c r="R49">
        <f t="shared" si="1"/>
        <v>48</v>
      </c>
    </row>
    <row r="50" spans="1:18" x14ac:dyDescent="0.3">
      <c r="A50" t="s">
        <v>26</v>
      </c>
      <c r="B50" t="s">
        <v>27</v>
      </c>
      <c r="C50" t="s">
        <v>28</v>
      </c>
      <c r="D50">
        <v>16</v>
      </c>
      <c r="E50">
        <v>10</v>
      </c>
      <c r="F50" t="s">
        <v>17</v>
      </c>
      <c r="G50">
        <v>10</v>
      </c>
      <c r="H50">
        <v>94.7</v>
      </c>
      <c r="I50">
        <v>29.178999999999998</v>
      </c>
      <c r="J50">
        <v>38.472999999999999</v>
      </c>
      <c r="K50">
        <v>27.048999999999999</v>
      </c>
      <c r="L50" t="s">
        <v>18</v>
      </c>
      <c r="N50">
        <v>8.4410000000000007</v>
      </c>
      <c r="O50" t="str">
        <f t="shared" si="0"/>
        <v>OK</v>
      </c>
      <c r="R50">
        <f t="shared" si="1"/>
        <v>49</v>
      </c>
    </row>
    <row r="51" spans="1:18" x14ac:dyDescent="0.3">
      <c r="A51" t="s">
        <v>29</v>
      </c>
      <c r="B51" t="s">
        <v>30</v>
      </c>
      <c r="C51" t="s">
        <v>31</v>
      </c>
      <c r="D51">
        <v>4</v>
      </c>
      <c r="E51">
        <v>10</v>
      </c>
      <c r="F51" t="s">
        <v>22</v>
      </c>
      <c r="G51">
        <v>10</v>
      </c>
      <c r="H51">
        <v>95.808000000000007</v>
      </c>
      <c r="I51">
        <v>29.489000000000001</v>
      </c>
      <c r="J51">
        <v>39.100999999999999</v>
      </c>
      <c r="K51">
        <v>27.216999999999999</v>
      </c>
      <c r="L51" t="s">
        <v>18</v>
      </c>
      <c r="N51">
        <v>22.998000000000001</v>
      </c>
      <c r="O51" t="str">
        <f t="shared" si="0"/>
        <v>OK</v>
      </c>
      <c r="R51">
        <f t="shared" si="1"/>
        <v>50</v>
      </c>
    </row>
    <row r="52" spans="1:18" x14ac:dyDescent="0.3">
      <c r="A52" t="s">
        <v>14</v>
      </c>
      <c r="B52" t="s">
        <v>15</v>
      </c>
      <c r="C52" t="s">
        <v>16</v>
      </c>
      <c r="D52">
        <v>1</v>
      </c>
      <c r="E52">
        <v>11</v>
      </c>
      <c r="F52" t="s">
        <v>17</v>
      </c>
      <c r="G52">
        <v>11</v>
      </c>
      <c r="H52">
        <v>93.703000000000003</v>
      </c>
      <c r="I52">
        <v>29.026</v>
      </c>
      <c r="J52">
        <v>38.185000000000002</v>
      </c>
      <c r="K52">
        <v>26.491</v>
      </c>
      <c r="L52" t="s">
        <v>18</v>
      </c>
      <c r="N52">
        <v>0</v>
      </c>
      <c r="O52" t="str">
        <f t="shared" si="0"/>
        <v>OK</v>
      </c>
      <c r="R52">
        <f t="shared" si="1"/>
        <v>51</v>
      </c>
    </row>
    <row r="53" spans="1:18" x14ac:dyDescent="0.3">
      <c r="A53" t="s">
        <v>19</v>
      </c>
      <c r="B53" t="s">
        <v>20</v>
      </c>
      <c r="C53" t="s">
        <v>21</v>
      </c>
      <c r="D53">
        <v>44</v>
      </c>
      <c r="E53">
        <v>11</v>
      </c>
      <c r="F53" t="s">
        <v>22</v>
      </c>
      <c r="G53">
        <v>11</v>
      </c>
      <c r="H53">
        <v>95.34</v>
      </c>
      <c r="I53">
        <v>29.32</v>
      </c>
      <c r="J53">
        <v>39.008000000000003</v>
      </c>
      <c r="K53">
        <v>27.013000000000002</v>
      </c>
      <c r="L53" t="s">
        <v>18</v>
      </c>
      <c r="N53">
        <v>20.954000000000001</v>
      </c>
      <c r="O53" t="str">
        <f t="shared" si="0"/>
        <v>OK</v>
      </c>
      <c r="R53">
        <f t="shared" si="1"/>
        <v>52</v>
      </c>
    </row>
    <row r="54" spans="1:18" x14ac:dyDescent="0.3">
      <c r="A54" t="s">
        <v>23</v>
      </c>
      <c r="B54" t="s">
        <v>24</v>
      </c>
      <c r="C54" t="s">
        <v>25</v>
      </c>
      <c r="D54">
        <v>14</v>
      </c>
      <c r="E54">
        <v>11</v>
      </c>
      <c r="F54" t="s">
        <v>17</v>
      </c>
      <c r="G54">
        <v>11</v>
      </c>
      <c r="H54">
        <v>94.545000000000002</v>
      </c>
      <c r="I54">
        <v>29.199000000000002</v>
      </c>
      <c r="J54">
        <v>38.386000000000003</v>
      </c>
      <c r="K54">
        <v>26.959</v>
      </c>
      <c r="L54" t="s">
        <v>18</v>
      </c>
      <c r="N54">
        <v>8.6620000000000008</v>
      </c>
      <c r="O54" t="str">
        <f t="shared" si="0"/>
        <v>OK</v>
      </c>
      <c r="R54">
        <f t="shared" si="1"/>
        <v>53</v>
      </c>
    </row>
    <row r="55" spans="1:18" x14ac:dyDescent="0.3">
      <c r="A55" t="s">
        <v>26</v>
      </c>
      <c r="B55" t="s">
        <v>27</v>
      </c>
      <c r="C55" t="s">
        <v>28</v>
      </c>
      <c r="D55">
        <v>16</v>
      </c>
      <c r="E55">
        <v>11</v>
      </c>
      <c r="F55" t="s">
        <v>17</v>
      </c>
      <c r="G55">
        <v>11</v>
      </c>
      <c r="H55">
        <v>94.525999999999996</v>
      </c>
      <c r="I55">
        <v>29.184999999999999</v>
      </c>
      <c r="J55">
        <v>38.661000000000001</v>
      </c>
      <c r="K55">
        <v>26.68</v>
      </c>
      <c r="L55" t="s">
        <v>18</v>
      </c>
      <c r="N55">
        <v>9.2639999999999993</v>
      </c>
      <c r="O55" t="str">
        <f t="shared" si="0"/>
        <v>OK</v>
      </c>
      <c r="R55">
        <f t="shared" si="1"/>
        <v>54</v>
      </c>
    </row>
    <row r="56" spans="1:18" x14ac:dyDescent="0.3">
      <c r="A56" t="s">
        <v>29</v>
      </c>
      <c r="B56" t="s">
        <v>30</v>
      </c>
      <c r="C56" t="s">
        <v>31</v>
      </c>
      <c r="D56">
        <v>4</v>
      </c>
      <c r="E56">
        <v>11</v>
      </c>
      <c r="F56" t="s">
        <v>22</v>
      </c>
      <c r="G56">
        <v>11</v>
      </c>
      <c r="H56">
        <v>95.625</v>
      </c>
      <c r="I56">
        <v>29.594999999999999</v>
      </c>
      <c r="J56">
        <v>39.142000000000003</v>
      </c>
      <c r="K56">
        <v>26.888000000000002</v>
      </c>
      <c r="L56" t="s">
        <v>18</v>
      </c>
      <c r="N56">
        <v>24.92</v>
      </c>
      <c r="O56" t="str">
        <f t="shared" si="0"/>
        <v>OK</v>
      </c>
      <c r="R56">
        <f t="shared" si="1"/>
        <v>55</v>
      </c>
    </row>
    <row r="57" spans="1:18" x14ac:dyDescent="0.3">
      <c r="A57" t="s">
        <v>14</v>
      </c>
      <c r="B57" t="s">
        <v>15</v>
      </c>
      <c r="C57" t="s">
        <v>16</v>
      </c>
      <c r="D57">
        <v>1</v>
      </c>
      <c r="E57">
        <v>12</v>
      </c>
      <c r="F57" t="s">
        <v>17</v>
      </c>
      <c r="G57">
        <v>12</v>
      </c>
      <c r="H57">
        <v>102.21599999999999</v>
      </c>
      <c r="I57">
        <v>31.475000000000001</v>
      </c>
      <c r="J57">
        <v>41.448</v>
      </c>
      <c r="K57">
        <v>29.294</v>
      </c>
      <c r="L57" t="s">
        <v>18</v>
      </c>
      <c r="N57">
        <v>0</v>
      </c>
      <c r="O57" t="str">
        <f t="shared" si="0"/>
        <v>OK</v>
      </c>
      <c r="R57">
        <f t="shared" si="1"/>
        <v>56</v>
      </c>
    </row>
    <row r="58" spans="1:18" x14ac:dyDescent="0.3">
      <c r="A58" t="s">
        <v>19</v>
      </c>
      <c r="B58" t="s">
        <v>20</v>
      </c>
      <c r="C58" t="s">
        <v>21</v>
      </c>
      <c r="D58">
        <v>44</v>
      </c>
      <c r="E58">
        <v>12</v>
      </c>
      <c r="F58" t="s">
        <v>22</v>
      </c>
      <c r="G58">
        <v>12</v>
      </c>
      <c r="H58">
        <v>103.759</v>
      </c>
      <c r="I58">
        <v>32.039000000000001</v>
      </c>
      <c r="J58">
        <v>42.194000000000003</v>
      </c>
      <c r="K58">
        <v>29.526</v>
      </c>
      <c r="L58" t="s">
        <v>18</v>
      </c>
      <c r="N58">
        <v>22.497</v>
      </c>
      <c r="O58" t="str">
        <f t="shared" si="0"/>
        <v>OK</v>
      </c>
      <c r="R58">
        <f t="shared" si="1"/>
        <v>57</v>
      </c>
    </row>
    <row r="59" spans="1:18" x14ac:dyDescent="0.3">
      <c r="A59" t="s">
        <v>23</v>
      </c>
      <c r="B59" t="s">
        <v>24</v>
      </c>
      <c r="C59" t="s">
        <v>25</v>
      </c>
      <c r="D59">
        <v>14</v>
      </c>
      <c r="E59">
        <v>12</v>
      </c>
      <c r="F59" t="s">
        <v>17</v>
      </c>
      <c r="G59">
        <v>12</v>
      </c>
      <c r="H59">
        <v>102.967</v>
      </c>
      <c r="I59">
        <v>31.841999999999999</v>
      </c>
      <c r="J59">
        <v>41.978999999999999</v>
      </c>
      <c r="K59">
        <v>29.146000000000001</v>
      </c>
      <c r="L59" t="s">
        <v>18</v>
      </c>
      <c r="N59">
        <v>9.4130000000000003</v>
      </c>
      <c r="O59" t="str">
        <f t="shared" si="0"/>
        <v>OK</v>
      </c>
    </row>
    <row r="60" spans="1:18" x14ac:dyDescent="0.3">
      <c r="A60" t="s">
        <v>26</v>
      </c>
      <c r="B60" t="s">
        <v>27</v>
      </c>
      <c r="C60" t="s">
        <v>28</v>
      </c>
      <c r="D60">
        <v>16</v>
      </c>
      <c r="E60">
        <v>12</v>
      </c>
      <c r="F60" t="s">
        <v>17</v>
      </c>
      <c r="G60">
        <v>12</v>
      </c>
      <c r="H60">
        <v>103.21299999999999</v>
      </c>
      <c r="I60">
        <v>31.713999999999999</v>
      </c>
      <c r="J60">
        <v>41.872999999999998</v>
      </c>
      <c r="K60">
        <v>29.626000000000001</v>
      </c>
      <c r="L60" t="s">
        <v>18</v>
      </c>
      <c r="N60">
        <v>10.260999999999999</v>
      </c>
      <c r="O60" t="str">
        <f t="shared" si="0"/>
        <v>OK</v>
      </c>
    </row>
    <row r="61" spans="1:18" x14ac:dyDescent="0.3">
      <c r="A61" t="s">
        <v>29</v>
      </c>
      <c r="B61" t="s">
        <v>30</v>
      </c>
      <c r="C61" t="s">
        <v>31</v>
      </c>
      <c r="D61">
        <v>4</v>
      </c>
      <c r="E61">
        <v>12</v>
      </c>
      <c r="F61" t="s">
        <v>22</v>
      </c>
      <c r="G61">
        <v>12</v>
      </c>
      <c r="H61">
        <v>104.639</v>
      </c>
      <c r="I61">
        <v>32.215000000000003</v>
      </c>
      <c r="J61">
        <v>42.445</v>
      </c>
      <c r="K61">
        <v>29.978999999999999</v>
      </c>
      <c r="L61" t="s">
        <v>18</v>
      </c>
      <c r="N61">
        <v>27.343</v>
      </c>
      <c r="O61" t="str">
        <f t="shared" si="0"/>
        <v>OK</v>
      </c>
    </row>
    <row r="62" spans="1:18" x14ac:dyDescent="0.3">
      <c r="A62" t="s">
        <v>14</v>
      </c>
      <c r="B62" t="s">
        <v>15</v>
      </c>
      <c r="C62" t="s">
        <v>16</v>
      </c>
      <c r="D62">
        <v>1</v>
      </c>
      <c r="E62">
        <v>13</v>
      </c>
      <c r="F62" t="s">
        <v>17</v>
      </c>
      <c r="G62">
        <v>13</v>
      </c>
      <c r="H62">
        <v>102.221</v>
      </c>
      <c r="I62">
        <v>31.454000000000001</v>
      </c>
      <c r="J62">
        <v>41.533999999999999</v>
      </c>
      <c r="K62">
        <v>29.231999999999999</v>
      </c>
      <c r="L62" t="s">
        <v>18</v>
      </c>
      <c r="N62">
        <v>0</v>
      </c>
      <c r="O62" t="str">
        <f t="shared" si="0"/>
        <v>OK</v>
      </c>
    </row>
    <row r="63" spans="1:18" x14ac:dyDescent="0.3">
      <c r="A63" t="s">
        <v>19</v>
      </c>
      <c r="B63" t="s">
        <v>20</v>
      </c>
      <c r="C63" t="s">
        <v>21</v>
      </c>
      <c r="D63">
        <v>44</v>
      </c>
      <c r="E63">
        <v>13</v>
      </c>
      <c r="F63" t="s">
        <v>22</v>
      </c>
      <c r="G63">
        <v>13</v>
      </c>
      <c r="H63">
        <v>103.895</v>
      </c>
      <c r="I63">
        <v>32.128999999999998</v>
      </c>
      <c r="J63">
        <v>42.448</v>
      </c>
      <c r="K63">
        <v>29.318000000000001</v>
      </c>
      <c r="L63" t="s">
        <v>18</v>
      </c>
      <c r="N63">
        <v>24.170999999999999</v>
      </c>
      <c r="O63" t="str">
        <f t="shared" si="0"/>
        <v>OK</v>
      </c>
    </row>
    <row r="64" spans="1:18" x14ac:dyDescent="0.3">
      <c r="A64" t="s">
        <v>23</v>
      </c>
      <c r="B64" t="s">
        <v>24</v>
      </c>
      <c r="C64" t="s">
        <v>25</v>
      </c>
      <c r="D64">
        <v>14</v>
      </c>
      <c r="E64">
        <v>13</v>
      </c>
      <c r="F64" t="s">
        <v>17</v>
      </c>
      <c r="G64">
        <v>13</v>
      </c>
      <c r="H64">
        <v>103.134</v>
      </c>
      <c r="I64">
        <v>31.733000000000001</v>
      </c>
      <c r="J64">
        <v>41.985999999999997</v>
      </c>
      <c r="K64">
        <v>29.414999999999999</v>
      </c>
      <c r="L64" t="s">
        <v>18</v>
      </c>
      <c r="N64">
        <v>10.326000000000001</v>
      </c>
      <c r="O64" t="str">
        <f t="shared" si="0"/>
        <v>OK</v>
      </c>
    </row>
    <row r="65" spans="1:15" x14ac:dyDescent="0.3">
      <c r="A65" t="s">
        <v>26</v>
      </c>
      <c r="B65" t="s">
        <v>27</v>
      </c>
      <c r="C65" t="s">
        <v>28</v>
      </c>
      <c r="D65">
        <v>16</v>
      </c>
      <c r="E65">
        <v>13</v>
      </c>
      <c r="F65" t="s">
        <v>17</v>
      </c>
      <c r="G65">
        <v>13</v>
      </c>
      <c r="H65">
        <v>103.176</v>
      </c>
      <c r="I65">
        <v>31.835000000000001</v>
      </c>
      <c r="J65">
        <v>41.966999999999999</v>
      </c>
      <c r="K65">
        <v>29.375</v>
      </c>
      <c r="L65" t="s">
        <v>18</v>
      </c>
      <c r="N65">
        <v>11.215999999999999</v>
      </c>
      <c r="O65" t="str">
        <f t="shared" si="0"/>
        <v>OK</v>
      </c>
    </row>
    <row r="66" spans="1:15" x14ac:dyDescent="0.3">
      <c r="A66" t="s">
        <v>29</v>
      </c>
      <c r="B66" t="s">
        <v>30</v>
      </c>
      <c r="C66" t="s">
        <v>31</v>
      </c>
      <c r="D66">
        <v>4</v>
      </c>
      <c r="E66">
        <v>13</v>
      </c>
      <c r="F66" t="s">
        <v>22</v>
      </c>
      <c r="G66">
        <v>13</v>
      </c>
      <c r="H66">
        <v>104.741</v>
      </c>
      <c r="I66">
        <v>32.203000000000003</v>
      </c>
      <c r="J66">
        <v>42.588000000000001</v>
      </c>
      <c r="K66">
        <v>29.949000000000002</v>
      </c>
      <c r="L66" t="s">
        <v>18</v>
      </c>
      <c r="N66">
        <v>29.863</v>
      </c>
      <c r="O66" t="str">
        <f t="shared" ref="O66:O129" si="2">IF(ABS((I66+J66+K66)-H66)&lt;0.01, "OK", "MISMATCH" )</f>
        <v>OK</v>
      </c>
    </row>
    <row r="67" spans="1:15" x14ac:dyDescent="0.3">
      <c r="A67" t="s">
        <v>14</v>
      </c>
      <c r="B67" t="s">
        <v>15</v>
      </c>
      <c r="C67" t="s">
        <v>16</v>
      </c>
      <c r="D67">
        <v>1</v>
      </c>
      <c r="E67">
        <v>14</v>
      </c>
      <c r="F67" t="s">
        <v>17</v>
      </c>
      <c r="G67">
        <v>14</v>
      </c>
      <c r="H67">
        <v>93.813999999999993</v>
      </c>
      <c r="I67">
        <v>28.899000000000001</v>
      </c>
      <c r="J67">
        <v>38.161999999999999</v>
      </c>
      <c r="K67">
        <v>26.753</v>
      </c>
      <c r="L67" t="s">
        <v>18</v>
      </c>
      <c r="N67">
        <v>0</v>
      </c>
      <c r="O67" t="str">
        <f t="shared" si="2"/>
        <v>OK</v>
      </c>
    </row>
    <row r="68" spans="1:15" x14ac:dyDescent="0.3">
      <c r="A68" t="s">
        <v>19</v>
      </c>
      <c r="B68" t="s">
        <v>20</v>
      </c>
      <c r="C68" t="s">
        <v>21</v>
      </c>
      <c r="D68">
        <v>44</v>
      </c>
      <c r="E68">
        <v>14</v>
      </c>
      <c r="F68" t="s">
        <v>22</v>
      </c>
      <c r="G68">
        <v>14</v>
      </c>
      <c r="H68">
        <v>95.664000000000001</v>
      </c>
      <c r="I68">
        <v>29.434999999999999</v>
      </c>
      <c r="J68">
        <v>38.783000000000001</v>
      </c>
      <c r="K68">
        <v>27.446000000000002</v>
      </c>
      <c r="L68" t="s">
        <v>18</v>
      </c>
      <c r="N68">
        <v>26.021000000000001</v>
      </c>
      <c r="O68" t="str">
        <f t="shared" si="2"/>
        <v>OK</v>
      </c>
    </row>
    <row r="69" spans="1:15" x14ac:dyDescent="0.3">
      <c r="A69" t="s">
        <v>23</v>
      </c>
      <c r="B69" t="s">
        <v>24</v>
      </c>
      <c r="C69" t="s">
        <v>25</v>
      </c>
      <c r="D69">
        <v>14</v>
      </c>
      <c r="E69">
        <v>14</v>
      </c>
      <c r="F69" t="s">
        <v>17</v>
      </c>
      <c r="G69">
        <v>14</v>
      </c>
      <c r="H69">
        <v>94.900999999999996</v>
      </c>
      <c r="I69">
        <v>29.247</v>
      </c>
      <c r="J69">
        <v>38.612000000000002</v>
      </c>
      <c r="K69">
        <v>27.042000000000002</v>
      </c>
      <c r="L69" t="s">
        <v>18</v>
      </c>
      <c r="N69">
        <v>11.413</v>
      </c>
      <c r="O69" t="str">
        <f t="shared" si="2"/>
        <v>OK</v>
      </c>
    </row>
    <row r="70" spans="1:15" x14ac:dyDescent="0.3">
      <c r="A70" t="s">
        <v>26</v>
      </c>
      <c r="B70" t="s">
        <v>27</v>
      </c>
      <c r="C70" t="s">
        <v>28</v>
      </c>
      <c r="D70">
        <v>16</v>
      </c>
      <c r="E70">
        <v>14</v>
      </c>
      <c r="F70" t="s">
        <v>17</v>
      </c>
      <c r="G70">
        <v>14</v>
      </c>
      <c r="H70">
        <v>94.811000000000007</v>
      </c>
      <c r="I70">
        <v>29.045000000000002</v>
      </c>
      <c r="J70">
        <v>38.508000000000003</v>
      </c>
      <c r="K70">
        <v>27.257000000000001</v>
      </c>
      <c r="L70" t="s">
        <v>18</v>
      </c>
      <c r="N70">
        <v>12.212999999999999</v>
      </c>
      <c r="O70" t="str">
        <f t="shared" si="2"/>
        <v>OK</v>
      </c>
    </row>
    <row r="71" spans="1:15" x14ac:dyDescent="0.3">
      <c r="A71" t="s">
        <v>29</v>
      </c>
      <c r="B71" t="s">
        <v>30</v>
      </c>
      <c r="C71" t="s">
        <v>31</v>
      </c>
      <c r="D71">
        <v>4</v>
      </c>
      <c r="E71">
        <v>14</v>
      </c>
      <c r="F71" t="s">
        <v>22</v>
      </c>
      <c r="G71">
        <v>14</v>
      </c>
      <c r="H71">
        <v>96.063999999999993</v>
      </c>
      <c r="I71">
        <v>29.457000000000001</v>
      </c>
      <c r="J71">
        <v>39.244</v>
      </c>
      <c r="K71">
        <v>27.361999999999998</v>
      </c>
      <c r="L71" t="s">
        <v>18</v>
      </c>
      <c r="N71">
        <v>32.113</v>
      </c>
      <c r="O71" t="str">
        <f t="shared" si="2"/>
        <v>OK</v>
      </c>
    </row>
    <row r="72" spans="1:15" x14ac:dyDescent="0.3">
      <c r="A72" t="s">
        <v>14</v>
      </c>
      <c r="B72" t="s">
        <v>15</v>
      </c>
      <c r="C72" t="s">
        <v>16</v>
      </c>
      <c r="D72">
        <v>1</v>
      </c>
      <c r="E72">
        <v>15</v>
      </c>
      <c r="F72" t="s">
        <v>17</v>
      </c>
      <c r="G72">
        <v>15</v>
      </c>
      <c r="H72">
        <v>94.287999999999997</v>
      </c>
      <c r="I72">
        <v>28.911000000000001</v>
      </c>
      <c r="J72">
        <v>38.042000000000002</v>
      </c>
      <c r="K72">
        <v>27.335000000000001</v>
      </c>
      <c r="L72" t="s">
        <v>18</v>
      </c>
      <c r="N72">
        <v>0</v>
      </c>
      <c r="O72" t="str">
        <f t="shared" si="2"/>
        <v>OK</v>
      </c>
    </row>
    <row r="73" spans="1:15" x14ac:dyDescent="0.3">
      <c r="A73" t="s">
        <v>19</v>
      </c>
      <c r="B73" t="s">
        <v>20</v>
      </c>
      <c r="C73" t="s">
        <v>21</v>
      </c>
      <c r="D73">
        <v>44</v>
      </c>
      <c r="E73">
        <v>15</v>
      </c>
      <c r="F73" t="s">
        <v>22</v>
      </c>
      <c r="G73">
        <v>15</v>
      </c>
      <c r="H73">
        <v>95.468000000000004</v>
      </c>
      <c r="I73">
        <v>29.466000000000001</v>
      </c>
      <c r="J73">
        <v>39.040999999999997</v>
      </c>
      <c r="K73">
        <v>26.960999999999999</v>
      </c>
      <c r="L73" t="s">
        <v>18</v>
      </c>
      <c r="N73">
        <v>27.2</v>
      </c>
      <c r="O73" t="str">
        <f t="shared" si="2"/>
        <v>OK</v>
      </c>
    </row>
    <row r="74" spans="1:15" x14ac:dyDescent="0.3">
      <c r="A74" t="s">
        <v>23</v>
      </c>
      <c r="B74" t="s">
        <v>24</v>
      </c>
      <c r="C74" t="s">
        <v>25</v>
      </c>
      <c r="D74">
        <v>14</v>
      </c>
      <c r="E74">
        <v>15</v>
      </c>
      <c r="F74" t="s">
        <v>17</v>
      </c>
      <c r="G74">
        <v>15</v>
      </c>
      <c r="H74">
        <v>94.881</v>
      </c>
      <c r="I74">
        <v>29.239000000000001</v>
      </c>
      <c r="J74">
        <v>38.347000000000001</v>
      </c>
      <c r="K74">
        <v>27.295000000000002</v>
      </c>
      <c r="L74" t="s">
        <v>18</v>
      </c>
      <c r="N74">
        <v>12.006</v>
      </c>
      <c r="O74" t="str">
        <f t="shared" si="2"/>
        <v>OK</v>
      </c>
    </row>
    <row r="75" spans="1:15" x14ac:dyDescent="0.3">
      <c r="A75" t="s">
        <v>26</v>
      </c>
      <c r="B75" t="s">
        <v>27</v>
      </c>
      <c r="C75" t="s">
        <v>28</v>
      </c>
      <c r="D75">
        <v>16</v>
      </c>
      <c r="E75">
        <v>15</v>
      </c>
      <c r="F75" t="s">
        <v>17</v>
      </c>
      <c r="G75">
        <v>15</v>
      </c>
      <c r="H75">
        <v>95.215999999999994</v>
      </c>
      <c r="I75">
        <v>29.119</v>
      </c>
      <c r="J75">
        <v>38.537999999999997</v>
      </c>
      <c r="K75">
        <v>27.56</v>
      </c>
      <c r="L75" t="s">
        <v>18</v>
      </c>
      <c r="N75">
        <v>13.141</v>
      </c>
      <c r="O75" t="str">
        <f t="shared" si="2"/>
        <v>OK</v>
      </c>
    </row>
    <row r="76" spans="1:15" x14ac:dyDescent="0.3">
      <c r="A76" t="s">
        <v>29</v>
      </c>
      <c r="B76" t="s">
        <v>30</v>
      </c>
      <c r="C76" t="s">
        <v>31</v>
      </c>
      <c r="D76">
        <v>4</v>
      </c>
      <c r="E76">
        <v>15</v>
      </c>
      <c r="F76" t="s">
        <v>22</v>
      </c>
      <c r="G76">
        <v>15</v>
      </c>
      <c r="H76">
        <v>96.221999999999994</v>
      </c>
      <c r="I76">
        <v>29.606000000000002</v>
      </c>
      <c r="J76">
        <v>39.283000000000001</v>
      </c>
      <c r="K76">
        <v>27.334</v>
      </c>
      <c r="L76" t="s">
        <v>18</v>
      </c>
      <c r="N76">
        <v>34.046999999999997</v>
      </c>
      <c r="O76" t="str">
        <f t="shared" si="2"/>
        <v>OK</v>
      </c>
    </row>
    <row r="77" spans="1:15" x14ac:dyDescent="0.3">
      <c r="A77" t="s">
        <v>14</v>
      </c>
      <c r="B77" t="s">
        <v>15</v>
      </c>
      <c r="C77" t="s">
        <v>16</v>
      </c>
      <c r="D77">
        <v>1</v>
      </c>
      <c r="E77">
        <v>16</v>
      </c>
      <c r="F77" t="s">
        <v>17</v>
      </c>
      <c r="G77">
        <v>16</v>
      </c>
      <c r="H77">
        <v>94.057000000000002</v>
      </c>
      <c r="I77">
        <v>29.044</v>
      </c>
      <c r="J77">
        <v>38.087000000000003</v>
      </c>
      <c r="K77">
        <v>26.925999999999998</v>
      </c>
      <c r="L77" t="s">
        <v>18</v>
      </c>
      <c r="N77">
        <v>0</v>
      </c>
      <c r="O77" t="str">
        <f t="shared" si="2"/>
        <v>OK</v>
      </c>
    </row>
    <row r="78" spans="1:15" x14ac:dyDescent="0.3">
      <c r="A78" t="s">
        <v>19</v>
      </c>
      <c r="B78" t="s">
        <v>20</v>
      </c>
      <c r="C78" t="s">
        <v>21</v>
      </c>
      <c r="D78">
        <v>44</v>
      </c>
      <c r="E78">
        <v>16</v>
      </c>
      <c r="F78" t="s">
        <v>22</v>
      </c>
      <c r="G78">
        <v>16</v>
      </c>
      <c r="H78">
        <v>95.924000000000007</v>
      </c>
      <c r="I78">
        <v>29.39</v>
      </c>
      <c r="J78">
        <v>38.792999999999999</v>
      </c>
      <c r="K78">
        <v>27.741</v>
      </c>
      <c r="L78" t="s">
        <v>18</v>
      </c>
      <c r="N78">
        <v>29.067</v>
      </c>
      <c r="O78" t="str">
        <f t="shared" si="2"/>
        <v>OK</v>
      </c>
    </row>
    <row r="79" spans="1:15" x14ac:dyDescent="0.3">
      <c r="A79" t="s">
        <v>23</v>
      </c>
      <c r="B79" t="s">
        <v>24</v>
      </c>
      <c r="C79" t="s">
        <v>25</v>
      </c>
      <c r="D79">
        <v>14</v>
      </c>
      <c r="E79">
        <v>16</v>
      </c>
      <c r="F79" t="s">
        <v>17</v>
      </c>
      <c r="G79">
        <v>16</v>
      </c>
      <c r="H79">
        <v>113.515</v>
      </c>
      <c r="I79">
        <v>29.03</v>
      </c>
      <c r="J79">
        <v>38.491</v>
      </c>
      <c r="K79">
        <v>45.994</v>
      </c>
      <c r="L79" t="s">
        <v>32</v>
      </c>
      <c r="M79">
        <v>2.7</v>
      </c>
      <c r="N79">
        <v>31.463999999999999</v>
      </c>
      <c r="O79" t="str">
        <f t="shared" si="2"/>
        <v>OK</v>
      </c>
    </row>
    <row r="80" spans="1:15" x14ac:dyDescent="0.3">
      <c r="A80" t="s">
        <v>26</v>
      </c>
      <c r="B80" t="s">
        <v>27</v>
      </c>
      <c r="C80" t="s">
        <v>28</v>
      </c>
      <c r="D80">
        <v>16</v>
      </c>
      <c r="E80">
        <v>16</v>
      </c>
      <c r="F80" t="s">
        <v>17</v>
      </c>
      <c r="G80">
        <v>16</v>
      </c>
      <c r="H80">
        <v>95.231999999999999</v>
      </c>
      <c r="I80">
        <v>29.117999999999999</v>
      </c>
      <c r="J80">
        <v>38.640999999999998</v>
      </c>
      <c r="K80">
        <v>27.472000000000001</v>
      </c>
      <c r="L80" t="s">
        <v>18</v>
      </c>
      <c r="N80">
        <v>14.315</v>
      </c>
      <c r="O80" t="str">
        <f t="shared" si="2"/>
        <v>OK</v>
      </c>
    </row>
    <row r="81" spans="1:15" x14ac:dyDescent="0.3">
      <c r="A81" t="s">
        <v>29</v>
      </c>
      <c r="B81" t="s">
        <v>30</v>
      </c>
      <c r="C81" t="s">
        <v>31</v>
      </c>
      <c r="D81">
        <v>4</v>
      </c>
      <c r="E81">
        <v>16</v>
      </c>
      <c r="F81" t="s">
        <v>22</v>
      </c>
      <c r="G81">
        <v>16</v>
      </c>
      <c r="H81">
        <v>96.298000000000002</v>
      </c>
      <c r="I81">
        <v>29.553999999999998</v>
      </c>
      <c r="J81">
        <v>39.213999999999999</v>
      </c>
      <c r="K81">
        <v>27.529</v>
      </c>
      <c r="L81" t="s">
        <v>18</v>
      </c>
      <c r="N81">
        <v>36.286999999999999</v>
      </c>
      <c r="O81" t="str">
        <f t="shared" si="2"/>
        <v>OK</v>
      </c>
    </row>
    <row r="82" spans="1:15" x14ac:dyDescent="0.3">
      <c r="A82" t="s">
        <v>14</v>
      </c>
      <c r="B82" t="s">
        <v>15</v>
      </c>
      <c r="C82" t="s">
        <v>16</v>
      </c>
      <c r="D82">
        <v>1</v>
      </c>
      <c r="E82">
        <v>17</v>
      </c>
      <c r="F82" t="s">
        <v>17</v>
      </c>
      <c r="G82">
        <v>17</v>
      </c>
      <c r="H82">
        <v>94.039000000000001</v>
      </c>
      <c r="I82">
        <v>28.867999999999999</v>
      </c>
      <c r="J82">
        <v>38.223999999999997</v>
      </c>
      <c r="K82">
        <v>26.946999999999999</v>
      </c>
      <c r="L82" t="s">
        <v>18</v>
      </c>
      <c r="N82">
        <v>0</v>
      </c>
      <c r="O82" t="str">
        <f t="shared" si="2"/>
        <v>OK</v>
      </c>
    </row>
    <row r="83" spans="1:15" x14ac:dyDescent="0.3">
      <c r="A83" t="s">
        <v>19</v>
      </c>
      <c r="B83" t="s">
        <v>20</v>
      </c>
      <c r="C83" t="s">
        <v>21</v>
      </c>
      <c r="D83">
        <v>44</v>
      </c>
      <c r="E83">
        <v>17</v>
      </c>
      <c r="F83" t="s">
        <v>22</v>
      </c>
      <c r="G83">
        <v>17</v>
      </c>
      <c r="H83">
        <v>95.938000000000002</v>
      </c>
      <c r="I83">
        <v>29.513999999999999</v>
      </c>
      <c r="J83">
        <v>39.076999999999998</v>
      </c>
      <c r="K83">
        <v>27.347000000000001</v>
      </c>
      <c r="L83" t="s">
        <v>18</v>
      </c>
      <c r="N83">
        <v>30.966000000000001</v>
      </c>
      <c r="O83" t="str">
        <f t="shared" si="2"/>
        <v>OK</v>
      </c>
    </row>
    <row r="84" spans="1:15" x14ac:dyDescent="0.3">
      <c r="A84" t="s">
        <v>23</v>
      </c>
      <c r="B84" t="s">
        <v>24</v>
      </c>
      <c r="C84" t="s">
        <v>25</v>
      </c>
      <c r="D84">
        <v>14</v>
      </c>
      <c r="E84">
        <v>17</v>
      </c>
      <c r="F84" t="s">
        <v>33</v>
      </c>
      <c r="G84">
        <v>1</v>
      </c>
      <c r="H84">
        <v>95.751999999999995</v>
      </c>
      <c r="I84">
        <v>29.643000000000001</v>
      </c>
      <c r="J84">
        <v>39.357999999999997</v>
      </c>
      <c r="K84">
        <v>26.751999999999999</v>
      </c>
      <c r="L84" t="s">
        <v>18</v>
      </c>
      <c r="N84">
        <v>33.177</v>
      </c>
      <c r="O84" t="str">
        <f t="shared" si="2"/>
        <v>OK</v>
      </c>
    </row>
    <row r="85" spans="1:15" x14ac:dyDescent="0.3">
      <c r="A85" t="s">
        <v>26</v>
      </c>
      <c r="B85" t="s">
        <v>27</v>
      </c>
      <c r="C85" t="s">
        <v>28</v>
      </c>
      <c r="D85">
        <v>16</v>
      </c>
      <c r="E85">
        <v>17</v>
      </c>
      <c r="F85" t="s">
        <v>17</v>
      </c>
      <c r="G85">
        <v>17</v>
      </c>
      <c r="H85">
        <v>95.421999999999997</v>
      </c>
      <c r="I85">
        <v>29.198</v>
      </c>
      <c r="J85">
        <v>38.414000000000001</v>
      </c>
      <c r="K85">
        <v>27.81</v>
      </c>
      <c r="L85" t="s">
        <v>18</v>
      </c>
      <c r="N85">
        <v>15.698</v>
      </c>
      <c r="O85" t="str">
        <f t="shared" si="2"/>
        <v>OK</v>
      </c>
    </row>
    <row r="86" spans="1:15" x14ac:dyDescent="0.3">
      <c r="A86" t="s">
        <v>29</v>
      </c>
      <c r="B86" t="s">
        <v>30</v>
      </c>
      <c r="C86" t="s">
        <v>31</v>
      </c>
      <c r="D86">
        <v>4</v>
      </c>
      <c r="E86">
        <v>17</v>
      </c>
      <c r="F86" t="s">
        <v>22</v>
      </c>
      <c r="G86">
        <v>17</v>
      </c>
      <c r="H86">
        <v>96.528000000000006</v>
      </c>
      <c r="I86">
        <v>29.556999999999999</v>
      </c>
      <c r="J86">
        <v>39.125999999999998</v>
      </c>
      <c r="K86">
        <v>27.844999999999999</v>
      </c>
      <c r="L86" t="s">
        <v>18</v>
      </c>
      <c r="N86">
        <v>38.776000000000003</v>
      </c>
      <c r="O86" t="str">
        <f t="shared" si="2"/>
        <v>OK</v>
      </c>
    </row>
    <row r="87" spans="1:15" x14ac:dyDescent="0.3">
      <c r="A87" t="s">
        <v>14</v>
      </c>
      <c r="B87" t="s">
        <v>15</v>
      </c>
      <c r="C87" t="s">
        <v>16</v>
      </c>
      <c r="D87">
        <v>1</v>
      </c>
      <c r="E87">
        <v>18</v>
      </c>
      <c r="F87" t="s">
        <v>17</v>
      </c>
      <c r="G87">
        <v>18</v>
      </c>
      <c r="H87">
        <v>113.928</v>
      </c>
      <c r="I87">
        <v>28.991</v>
      </c>
      <c r="J87">
        <v>38.14</v>
      </c>
      <c r="K87">
        <v>46.796999999999997</v>
      </c>
      <c r="L87" t="s">
        <v>32</v>
      </c>
      <c r="M87">
        <v>2.6</v>
      </c>
      <c r="N87">
        <v>0</v>
      </c>
      <c r="O87" t="str">
        <f t="shared" si="2"/>
        <v>OK</v>
      </c>
    </row>
    <row r="88" spans="1:15" x14ac:dyDescent="0.3">
      <c r="A88" t="s">
        <v>19</v>
      </c>
      <c r="B88" t="s">
        <v>20</v>
      </c>
      <c r="C88" t="s">
        <v>21</v>
      </c>
      <c r="D88">
        <v>44</v>
      </c>
      <c r="E88">
        <v>18</v>
      </c>
      <c r="F88" t="s">
        <v>22</v>
      </c>
      <c r="G88">
        <v>18</v>
      </c>
      <c r="H88">
        <v>95.5</v>
      </c>
      <c r="I88">
        <v>29.312999999999999</v>
      </c>
      <c r="J88">
        <v>38.978000000000002</v>
      </c>
      <c r="K88">
        <v>27.209</v>
      </c>
      <c r="L88" t="s">
        <v>18</v>
      </c>
      <c r="N88">
        <v>12.539</v>
      </c>
      <c r="O88" t="str">
        <f t="shared" si="2"/>
        <v>OK</v>
      </c>
    </row>
    <row r="89" spans="1:15" x14ac:dyDescent="0.3">
      <c r="A89" t="s">
        <v>23</v>
      </c>
      <c r="B89" t="s">
        <v>24</v>
      </c>
      <c r="C89" t="s">
        <v>25</v>
      </c>
      <c r="D89">
        <v>14</v>
      </c>
      <c r="E89">
        <v>18</v>
      </c>
      <c r="F89" t="s">
        <v>33</v>
      </c>
      <c r="G89">
        <v>2</v>
      </c>
      <c r="H89">
        <v>95.783000000000001</v>
      </c>
      <c r="I89">
        <v>29.667000000000002</v>
      </c>
      <c r="J89">
        <v>39.281999999999996</v>
      </c>
      <c r="K89">
        <v>26.834</v>
      </c>
      <c r="L89" t="s">
        <v>18</v>
      </c>
      <c r="N89">
        <v>15.032</v>
      </c>
      <c r="O89" t="str">
        <f t="shared" si="2"/>
        <v>OK</v>
      </c>
    </row>
    <row r="90" spans="1:15" x14ac:dyDescent="0.3">
      <c r="A90" t="s">
        <v>26</v>
      </c>
      <c r="B90" t="s">
        <v>27</v>
      </c>
      <c r="C90" t="s">
        <v>28</v>
      </c>
      <c r="D90">
        <v>16</v>
      </c>
      <c r="E90">
        <v>18</v>
      </c>
      <c r="F90" t="s">
        <v>17</v>
      </c>
      <c r="G90">
        <v>18</v>
      </c>
      <c r="H90">
        <v>95.346000000000004</v>
      </c>
      <c r="I90">
        <v>29.280999999999999</v>
      </c>
      <c r="J90">
        <v>38.466999999999999</v>
      </c>
      <c r="K90">
        <v>27.597000000000001</v>
      </c>
      <c r="L90" t="s">
        <v>18</v>
      </c>
      <c r="N90">
        <v>-2.8839999999999999</v>
      </c>
      <c r="O90" t="str">
        <f t="shared" si="2"/>
        <v>OK</v>
      </c>
    </row>
    <row r="91" spans="1:15" x14ac:dyDescent="0.3">
      <c r="A91" t="s">
        <v>29</v>
      </c>
      <c r="B91" t="s">
        <v>30</v>
      </c>
      <c r="C91" t="s">
        <v>31</v>
      </c>
      <c r="D91">
        <v>4</v>
      </c>
      <c r="E91">
        <v>18</v>
      </c>
      <c r="F91" t="s">
        <v>22</v>
      </c>
      <c r="G91">
        <v>18</v>
      </c>
      <c r="H91">
        <v>96.215999999999994</v>
      </c>
      <c r="I91">
        <v>29.530999999999999</v>
      </c>
      <c r="J91">
        <v>39.198</v>
      </c>
      <c r="K91">
        <v>27.486999999999998</v>
      </c>
      <c r="L91" t="s">
        <v>18</v>
      </c>
      <c r="N91">
        <v>21.065000000000001</v>
      </c>
      <c r="O91" t="str">
        <f t="shared" si="2"/>
        <v>OK</v>
      </c>
    </row>
    <row r="92" spans="1:15" x14ac:dyDescent="0.3">
      <c r="A92" t="s">
        <v>14</v>
      </c>
      <c r="B92" t="s">
        <v>15</v>
      </c>
      <c r="C92" t="s">
        <v>16</v>
      </c>
      <c r="D92">
        <v>1</v>
      </c>
      <c r="E92">
        <v>19</v>
      </c>
      <c r="F92" t="s">
        <v>22</v>
      </c>
      <c r="G92">
        <v>1</v>
      </c>
      <c r="H92">
        <v>93.826999999999998</v>
      </c>
      <c r="I92">
        <v>29.331</v>
      </c>
      <c r="J92">
        <v>38.472999999999999</v>
      </c>
      <c r="K92">
        <v>26.024000000000001</v>
      </c>
      <c r="L92" t="s">
        <v>18</v>
      </c>
      <c r="N92">
        <v>0</v>
      </c>
      <c r="O92" t="str">
        <f t="shared" si="2"/>
        <v>OK</v>
      </c>
    </row>
    <row r="93" spans="1:15" x14ac:dyDescent="0.3">
      <c r="A93" t="s">
        <v>19</v>
      </c>
      <c r="B93" t="s">
        <v>20</v>
      </c>
      <c r="C93" t="s">
        <v>21</v>
      </c>
      <c r="D93">
        <v>44</v>
      </c>
      <c r="E93">
        <v>19</v>
      </c>
      <c r="F93" t="s">
        <v>22</v>
      </c>
      <c r="G93">
        <v>19</v>
      </c>
      <c r="H93">
        <v>95.650999999999996</v>
      </c>
      <c r="I93">
        <v>29.344999999999999</v>
      </c>
      <c r="J93">
        <v>39.064999999999998</v>
      </c>
      <c r="K93">
        <v>27.241</v>
      </c>
      <c r="L93" t="s">
        <v>18</v>
      </c>
      <c r="N93">
        <v>14.362</v>
      </c>
      <c r="O93" t="str">
        <f t="shared" si="2"/>
        <v>OK</v>
      </c>
    </row>
    <row r="94" spans="1:15" x14ac:dyDescent="0.3">
      <c r="A94" t="s">
        <v>23</v>
      </c>
      <c r="B94" t="s">
        <v>24</v>
      </c>
      <c r="C94" t="s">
        <v>25</v>
      </c>
      <c r="D94">
        <v>14</v>
      </c>
      <c r="E94">
        <v>19</v>
      </c>
      <c r="F94" t="s">
        <v>33</v>
      </c>
      <c r="G94">
        <v>3</v>
      </c>
      <c r="H94">
        <v>96.004999999999995</v>
      </c>
      <c r="I94">
        <v>29.66</v>
      </c>
      <c r="J94">
        <v>39.283999999999999</v>
      </c>
      <c r="K94">
        <v>27.061</v>
      </c>
      <c r="L94" t="s">
        <v>18</v>
      </c>
      <c r="N94">
        <v>17.209</v>
      </c>
      <c r="O94" t="str">
        <f t="shared" si="2"/>
        <v>OK</v>
      </c>
    </row>
    <row r="95" spans="1:15" x14ac:dyDescent="0.3">
      <c r="A95" t="s">
        <v>26</v>
      </c>
      <c r="B95" t="s">
        <v>27</v>
      </c>
      <c r="C95" t="s">
        <v>28</v>
      </c>
      <c r="D95">
        <v>16</v>
      </c>
      <c r="E95">
        <v>19</v>
      </c>
      <c r="F95" t="s">
        <v>17</v>
      </c>
      <c r="G95">
        <v>19</v>
      </c>
      <c r="H95">
        <v>95.195999999999998</v>
      </c>
      <c r="I95">
        <v>29.297999999999998</v>
      </c>
      <c r="J95">
        <v>38.549999999999997</v>
      </c>
      <c r="K95">
        <v>27.347000000000001</v>
      </c>
      <c r="L95" t="s">
        <v>18</v>
      </c>
      <c r="N95">
        <v>-1.516</v>
      </c>
      <c r="O95" t="str">
        <f t="shared" si="2"/>
        <v>OK</v>
      </c>
    </row>
    <row r="96" spans="1:15" x14ac:dyDescent="0.3">
      <c r="A96" t="s">
        <v>29</v>
      </c>
      <c r="B96" t="s">
        <v>30</v>
      </c>
      <c r="C96" t="s">
        <v>31</v>
      </c>
      <c r="D96">
        <v>4</v>
      </c>
      <c r="E96">
        <v>19</v>
      </c>
      <c r="F96" t="s">
        <v>22</v>
      </c>
      <c r="G96">
        <v>19</v>
      </c>
      <c r="H96">
        <v>96.584999999999994</v>
      </c>
      <c r="I96">
        <v>29.449000000000002</v>
      </c>
      <c r="J96">
        <v>39.03</v>
      </c>
      <c r="K96">
        <v>28.106000000000002</v>
      </c>
      <c r="L96" t="s">
        <v>18</v>
      </c>
      <c r="N96">
        <v>23.823</v>
      </c>
      <c r="O96" t="str">
        <f t="shared" si="2"/>
        <v>OK</v>
      </c>
    </row>
    <row r="97" spans="1:15" x14ac:dyDescent="0.3">
      <c r="A97" t="s">
        <v>14</v>
      </c>
      <c r="B97" t="s">
        <v>15</v>
      </c>
      <c r="C97" t="s">
        <v>16</v>
      </c>
      <c r="D97">
        <v>1</v>
      </c>
      <c r="E97">
        <v>20</v>
      </c>
      <c r="F97" t="s">
        <v>22</v>
      </c>
      <c r="G97">
        <v>2</v>
      </c>
      <c r="H97">
        <v>94.284000000000006</v>
      </c>
      <c r="I97">
        <v>29.187999999999999</v>
      </c>
      <c r="J97">
        <v>38.558</v>
      </c>
      <c r="K97">
        <v>26.539000000000001</v>
      </c>
      <c r="L97" t="s">
        <v>18</v>
      </c>
      <c r="N97">
        <v>0</v>
      </c>
      <c r="O97" t="str">
        <f t="shared" si="2"/>
        <v>OK</v>
      </c>
    </row>
    <row r="98" spans="1:15" x14ac:dyDescent="0.3">
      <c r="A98" t="s">
        <v>19</v>
      </c>
      <c r="B98" t="s">
        <v>20</v>
      </c>
      <c r="C98" t="s">
        <v>21</v>
      </c>
      <c r="D98">
        <v>44</v>
      </c>
      <c r="E98">
        <v>20</v>
      </c>
      <c r="F98" t="s">
        <v>22</v>
      </c>
      <c r="G98">
        <v>20</v>
      </c>
      <c r="H98">
        <v>96.025999999999996</v>
      </c>
      <c r="I98">
        <v>29.317</v>
      </c>
      <c r="J98">
        <v>38.981999999999999</v>
      </c>
      <c r="K98">
        <v>27.727</v>
      </c>
      <c r="L98" t="s">
        <v>18</v>
      </c>
      <c r="N98">
        <v>16.103999999999999</v>
      </c>
      <c r="O98" t="str">
        <f t="shared" si="2"/>
        <v>OK</v>
      </c>
    </row>
    <row r="99" spans="1:15" x14ac:dyDescent="0.3">
      <c r="A99" t="s">
        <v>23</v>
      </c>
      <c r="B99" t="s">
        <v>24</v>
      </c>
      <c r="C99" t="s">
        <v>25</v>
      </c>
      <c r="D99">
        <v>14</v>
      </c>
      <c r="E99">
        <v>20</v>
      </c>
      <c r="F99" t="s">
        <v>33</v>
      </c>
      <c r="G99">
        <v>4</v>
      </c>
      <c r="H99">
        <v>96.269000000000005</v>
      </c>
      <c r="I99">
        <v>29.63</v>
      </c>
      <c r="J99">
        <v>39.225000000000001</v>
      </c>
      <c r="K99">
        <v>27.414000000000001</v>
      </c>
      <c r="L99" t="s">
        <v>18</v>
      </c>
      <c r="N99">
        <v>19.193999999999999</v>
      </c>
      <c r="O99" t="str">
        <f t="shared" si="2"/>
        <v>OK</v>
      </c>
    </row>
    <row r="100" spans="1:15" x14ac:dyDescent="0.3">
      <c r="A100" t="s">
        <v>26</v>
      </c>
      <c r="B100" t="s">
        <v>27</v>
      </c>
      <c r="C100" t="s">
        <v>28</v>
      </c>
      <c r="D100">
        <v>16</v>
      </c>
      <c r="E100">
        <v>20</v>
      </c>
      <c r="F100" t="s">
        <v>17</v>
      </c>
      <c r="G100">
        <v>20</v>
      </c>
      <c r="H100">
        <v>116.83499999999999</v>
      </c>
      <c r="I100">
        <v>29.091000000000001</v>
      </c>
      <c r="J100">
        <v>38.667999999999999</v>
      </c>
      <c r="K100">
        <v>49.076000000000001</v>
      </c>
      <c r="L100" t="s">
        <v>32</v>
      </c>
      <c r="M100">
        <v>3</v>
      </c>
      <c r="N100">
        <v>21.033999999999999</v>
      </c>
      <c r="O100" t="str">
        <f t="shared" si="2"/>
        <v>OK</v>
      </c>
    </row>
    <row r="101" spans="1:15" x14ac:dyDescent="0.3">
      <c r="A101" t="s">
        <v>29</v>
      </c>
      <c r="B101" t="s">
        <v>30</v>
      </c>
      <c r="C101" t="s">
        <v>31</v>
      </c>
      <c r="D101">
        <v>4</v>
      </c>
      <c r="E101">
        <v>20</v>
      </c>
      <c r="F101" t="s">
        <v>22</v>
      </c>
      <c r="G101">
        <v>20</v>
      </c>
      <c r="H101">
        <v>96.417000000000002</v>
      </c>
      <c r="I101">
        <v>29.649000000000001</v>
      </c>
      <c r="J101">
        <v>39.018999999999998</v>
      </c>
      <c r="K101">
        <v>27.748999999999999</v>
      </c>
      <c r="L101" t="s">
        <v>18</v>
      </c>
      <c r="N101">
        <v>25.954999999999998</v>
      </c>
      <c r="O101" t="str">
        <f t="shared" si="2"/>
        <v>OK</v>
      </c>
    </row>
    <row r="102" spans="1:15" x14ac:dyDescent="0.3">
      <c r="A102" t="s">
        <v>14</v>
      </c>
      <c r="B102" t="s">
        <v>15</v>
      </c>
      <c r="C102" t="s">
        <v>16</v>
      </c>
      <c r="D102">
        <v>1</v>
      </c>
      <c r="E102">
        <v>21</v>
      </c>
      <c r="F102" t="s">
        <v>22</v>
      </c>
      <c r="G102">
        <v>3</v>
      </c>
      <c r="H102">
        <v>93.98</v>
      </c>
      <c r="I102">
        <v>29.2</v>
      </c>
      <c r="J102">
        <v>38.591000000000001</v>
      </c>
      <c r="K102">
        <v>26.189</v>
      </c>
      <c r="L102" t="s">
        <v>18</v>
      </c>
      <c r="N102">
        <v>0</v>
      </c>
      <c r="O102" t="str">
        <f t="shared" si="2"/>
        <v>OK</v>
      </c>
    </row>
    <row r="103" spans="1:15" x14ac:dyDescent="0.3">
      <c r="A103" t="s">
        <v>19</v>
      </c>
      <c r="B103" t="s">
        <v>20</v>
      </c>
      <c r="C103" t="s">
        <v>21</v>
      </c>
      <c r="D103">
        <v>44</v>
      </c>
      <c r="E103">
        <v>21</v>
      </c>
      <c r="F103" t="s">
        <v>22</v>
      </c>
      <c r="G103">
        <v>21</v>
      </c>
      <c r="H103">
        <v>95.816999999999993</v>
      </c>
      <c r="I103">
        <v>29.445</v>
      </c>
      <c r="J103">
        <v>39.061999999999998</v>
      </c>
      <c r="K103">
        <v>27.31</v>
      </c>
      <c r="L103" t="s">
        <v>18</v>
      </c>
      <c r="N103">
        <v>17.940999999999999</v>
      </c>
      <c r="O103" t="str">
        <f t="shared" si="2"/>
        <v>OK</v>
      </c>
    </row>
    <row r="104" spans="1:15" x14ac:dyDescent="0.3">
      <c r="A104" t="s">
        <v>23</v>
      </c>
      <c r="B104" t="s">
        <v>24</v>
      </c>
      <c r="C104" t="s">
        <v>25</v>
      </c>
      <c r="D104">
        <v>14</v>
      </c>
      <c r="E104">
        <v>21</v>
      </c>
      <c r="F104" t="s">
        <v>33</v>
      </c>
      <c r="G104">
        <v>5</v>
      </c>
      <c r="H104">
        <v>96.412999999999997</v>
      </c>
      <c r="I104">
        <v>29.638000000000002</v>
      </c>
      <c r="J104">
        <v>39.320999999999998</v>
      </c>
      <c r="K104">
        <v>27.454000000000001</v>
      </c>
      <c r="L104" t="s">
        <v>18</v>
      </c>
      <c r="N104">
        <v>21.626999999999999</v>
      </c>
      <c r="O104" t="str">
        <f t="shared" si="2"/>
        <v>OK</v>
      </c>
    </row>
    <row r="105" spans="1:15" x14ac:dyDescent="0.3">
      <c r="A105" t="s">
        <v>26</v>
      </c>
      <c r="B105" t="s">
        <v>27</v>
      </c>
      <c r="C105" t="s">
        <v>28</v>
      </c>
      <c r="D105">
        <v>16</v>
      </c>
      <c r="E105">
        <v>21</v>
      </c>
      <c r="F105" t="s">
        <v>22</v>
      </c>
      <c r="G105">
        <v>1</v>
      </c>
      <c r="H105">
        <v>94.878</v>
      </c>
      <c r="I105">
        <v>29.465</v>
      </c>
      <c r="J105">
        <v>38.912999999999997</v>
      </c>
      <c r="K105">
        <v>26.501000000000001</v>
      </c>
      <c r="L105" t="s">
        <v>18</v>
      </c>
      <c r="N105">
        <v>21.933</v>
      </c>
      <c r="O105" t="str">
        <f t="shared" si="2"/>
        <v>OK</v>
      </c>
    </row>
    <row r="106" spans="1:15" x14ac:dyDescent="0.3">
      <c r="A106" t="s">
        <v>29</v>
      </c>
      <c r="B106" t="s">
        <v>30</v>
      </c>
      <c r="C106" t="s">
        <v>31</v>
      </c>
      <c r="D106">
        <v>4</v>
      </c>
      <c r="E106">
        <v>21</v>
      </c>
      <c r="F106" t="s">
        <v>22</v>
      </c>
      <c r="G106">
        <v>21</v>
      </c>
      <c r="H106">
        <v>96.55</v>
      </c>
      <c r="I106">
        <v>29.704000000000001</v>
      </c>
      <c r="J106">
        <v>39.091999999999999</v>
      </c>
      <c r="K106">
        <v>27.754000000000001</v>
      </c>
      <c r="L106" t="s">
        <v>18</v>
      </c>
      <c r="N106">
        <v>28.524999999999999</v>
      </c>
      <c r="O106" t="str">
        <f t="shared" si="2"/>
        <v>OK</v>
      </c>
    </row>
    <row r="107" spans="1:15" x14ac:dyDescent="0.3">
      <c r="A107" t="s">
        <v>14</v>
      </c>
      <c r="B107" t="s">
        <v>15</v>
      </c>
      <c r="C107" t="s">
        <v>16</v>
      </c>
      <c r="D107">
        <v>1</v>
      </c>
      <c r="E107">
        <v>22</v>
      </c>
      <c r="F107" t="s">
        <v>22</v>
      </c>
      <c r="G107">
        <v>4</v>
      </c>
      <c r="H107">
        <v>93.962000000000003</v>
      </c>
      <c r="I107">
        <v>29.184000000000001</v>
      </c>
      <c r="J107">
        <v>38.543999999999997</v>
      </c>
      <c r="K107">
        <v>26.234999999999999</v>
      </c>
      <c r="L107" t="s">
        <v>18</v>
      </c>
      <c r="N107">
        <v>0</v>
      </c>
      <c r="O107" t="str">
        <f t="shared" si="2"/>
        <v>OK</v>
      </c>
    </row>
    <row r="108" spans="1:15" x14ac:dyDescent="0.3">
      <c r="A108" t="s">
        <v>19</v>
      </c>
      <c r="B108" t="s">
        <v>20</v>
      </c>
      <c r="C108" t="s">
        <v>21</v>
      </c>
      <c r="D108">
        <v>44</v>
      </c>
      <c r="E108">
        <v>22</v>
      </c>
      <c r="F108" t="s">
        <v>22</v>
      </c>
      <c r="G108">
        <v>22</v>
      </c>
      <c r="H108">
        <v>114.747</v>
      </c>
      <c r="I108">
        <v>29.372</v>
      </c>
      <c r="J108">
        <v>38.993000000000002</v>
      </c>
      <c r="K108">
        <v>46.383000000000003</v>
      </c>
      <c r="L108" t="s">
        <v>32</v>
      </c>
      <c r="M108">
        <v>3.1</v>
      </c>
      <c r="N108">
        <v>38.725999999999999</v>
      </c>
      <c r="O108" t="str">
        <f t="shared" si="2"/>
        <v>OK</v>
      </c>
    </row>
    <row r="109" spans="1:15" x14ac:dyDescent="0.3">
      <c r="A109" t="s">
        <v>23</v>
      </c>
      <c r="B109" t="s">
        <v>24</v>
      </c>
      <c r="C109" t="s">
        <v>25</v>
      </c>
      <c r="D109">
        <v>14</v>
      </c>
      <c r="E109">
        <v>22</v>
      </c>
      <c r="F109" t="s">
        <v>33</v>
      </c>
      <c r="G109">
        <v>6</v>
      </c>
      <c r="H109">
        <v>96.293999999999997</v>
      </c>
      <c r="I109">
        <v>29.809000000000001</v>
      </c>
      <c r="J109">
        <v>39.311999999999998</v>
      </c>
      <c r="K109">
        <v>27.172999999999998</v>
      </c>
      <c r="L109" t="s">
        <v>18</v>
      </c>
      <c r="N109">
        <v>23.959</v>
      </c>
      <c r="O109" t="str">
        <f t="shared" si="2"/>
        <v>OK</v>
      </c>
    </row>
    <row r="110" spans="1:15" x14ac:dyDescent="0.3">
      <c r="A110" t="s">
        <v>26</v>
      </c>
      <c r="B110" t="s">
        <v>27</v>
      </c>
      <c r="C110" t="s">
        <v>28</v>
      </c>
      <c r="D110">
        <v>16</v>
      </c>
      <c r="E110">
        <v>22</v>
      </c>
      <c r="F110" t="s">
        <v>22</v>
      </c>
      <c r="G110">
        <v>2</v>
      </c>
      <c r="H110">
        <v>95.146000000000001</v>
      </c>
      <c r="I110">
        <v>29.573</v>
      </c>
      <c r="J110">
        <v>38.898000000000003</v>
      </c>
      <c r="K110">
        <v>26.675000000000001</v>
      </c>
      <c r="L110" t="s">
        <v>18</v>
      </c>
      <c r="N110">
        <v>23.117000000000001</v>
      </c>
      <c r="O110" t="str">
        <f t="shared" si="2"/>
        <v>OK</v>
      </c>
    </row>
    <row r="111" spans="1:15" x14ac:dyDescent="0.3">
      <c r="A111" t="s">
        <v>29</v>
      </c>
      <c r="B111" t="s">
        <v>30</v>
      </c>
      <c r="C111" t="s">
        <v>31</v>
      </c>
      <c r="D111">
        <v>4</v>
      </c>
      <c r="E111">
        <v>22</v>
      </c>
      <c r="F111" t="s">
        <v>22</v>
      </c>
      <c r="G111">
        <v>22</v>
      </c>
      <c r="H111">
        <v>96.239000000000004</v>
      </c>
      <c r="I111">
        <v>29.486999999999998</v>
      </c>
      <c r="J111">
        <v>39.244</v>
      </c>
      <c r="K111">
        <v>27.507999999999999</v>
      </c>
      <c r="L111" t="s">
        <v>18</v>
      </c>
      <c r="N111">
        <v>30.802</v>
      </c>
      <c r="O111" t="str">
        <f t="shared" si="2"/>
        <v>OK</v>
      </c>
    </row>
    <row r="112" spans="1:15" x14ac:dyDescent="0.3">
      <c r="A112" t="s">
        <v>14</v>
      </c>
      <c r="B112" t="s">
        <v>15</v>
      </c>
      <c r="C112" t="s">
        <v>16</v>
      </c>
      <c r="D112">
        <v>1</v>
      </c>
      <c r="E112">
        <v>23</v>
      </c>
      <c r="F112" t="s">
        <v>22</v>
      </c>
      <c r="G112">
        <v>5</v>
      </c>
      <c r="H112">
        <v>94.085999999999999</v>
      </c>
      <c r="I112">
        <v>29.071000000000002</v>
      </c>
      <c r="J112">
        <v>38.692</v>
      </c>
      <c r="K112">
        <v>26.323</v>
      </c>
      <c r="L112" t="s">
        <v>18</v>
      </c>
      <c r="N112">
        <v>0</v>
      </c>
      <c r="O112" t="str">
        <f t="shared" si="2"/>
        <v>OK</v>
      </c>
    </row>
    <row r="113" spans="1:15" x14ac:dyDescent="0.3">
      <c r="A113" t="s">
        <v>19</v>
      </c>
      <c r="B113" t="s">
        <v>20</v>
      </c>
      <c r="C113" t="s">
        <v>21</v>
      </c>
      <c r="D113">
        <v>44</v>
      </c>
      <c r="E113">
        <v>23</v>
      </c>
      <c r="F113" t="s">
        <v>33</v>
      </c>
      <c r="G113">
        <v>1</v>
      </c>
      <c r="H113">
        <v>95.947000000000003</v>
      </c>
      <c r="I113">
        <v>29.831</v>
      </c>
      <c r="J113">
        <v>39.412999999999997</v>
      </c>
      <c r="K113">
        <v>26.704000000000001</v>
      </c>
      <c r="L113" t="s">
        <v>18</v>
      </c>
      <c r="N113">
        <v>40.587000000000003</v>
      </c>
      <c r="O113" t="str">
        <f t="shared" si="2"/>
        <v>OK</v>
      </c>
    </row>
    <row r="114" spans="1:15" x14ac:dyDescent="0.3">
      <c r="A114" t="s">
        <v>23</v>
      </c>
      <c r="B114" t="s">
        <v>24</v>
      </c>
      <c r="C114" t="s">
        <v>25</v>
      </c>
      <c r="D114">
        <v>14</v>
      </c>
      <c r="E114">
        <v>23</v>
      </c>
      <c r="F114" t="s">
        <v>33</v>
      </c>
      <c r="G114">
        <v>7</v>
      </c>
      <c r="H114">
        <v>95.988</v>
      </c>
      <c r="I114">
        <v>29.789000000000001</v>
      </c>
      <c r="J114">
        <v>39.298999999999999</v>
      </c>
      <c r="K114">
        <v>26.899000000000001</v>
      </c>
      <c r="L114" t="s">
        <v>18</v>
      </c>
      <c r="N114">
        <v>25.86</v>
      </c>
      <c r="O114" t="str">
        <f t="shared" si="2"/>
        <v>OK</v>
      </c>
    </row>
    <row r="115" spans="1:15" x14ac:dyDescent="0.3">
      <c r="A115" t="s">
        <v>26</v>
      </c>
      <c r="B115" t="s">
        <v>27</v>
      </c>
      <c r="C115" t="s">
        <v>28</v>
      </c>
      <c r="D115">
        <v>16</v>
      </c>
      <c r="E115">
        <v>23</v>
      </c>
      <c r="F115" t="s">
        <v>22</v>
      </c>
      <c r="G115">
        <v>3</v>
      </c>
      <c r="H115">
        <v>95.222999999999999</v>
      </c>
      <c r="I115">
        <v>29.417000000000002</v>
      </c>
      <c r="J115">
        <v>38.893999999999998</v>
      </c>
      <c r="K115">
        <v>26.911999999999999</v>
      </c>
      <c r="L115" t="s">
        <v>18</v>
      </c>
      <c r="N115">
        <v>24.254000000000001</v>
      </c>
      <c r="O115" t="str">
        <f t="shared" si="2"/>
        <v>OK</v>
      </c>
    </row>
    <row r="116" spans="1:15" x14ac:dyDescent="0.3">
      <c r="A116" t="s">
        <v>29</v>
      </c>
      <c r="B116" t="s">
        <v>30</v>
      </c>
      <c r="C116" t="s">
        <v>31</v>
      </c>
      <c r="D116">
        <v>4</v>
      </c>
      <c r="E116">
        <v>23</v>
      </c>
      <c r="F116" t="s">
        <v>22</v>
      </c>
      <c r="G116">
        <v>23</v>
      </c>
      <c r="H116">
        <v>96.578000000000003</v>
      </c>
      <c r="I116">
        <v>29.641999999999999</v>
      </c>
      <c r="J116">
        <v>39.182000000000002</v>
      </c>
      <c r="K116">
        <v>27.754000000000001</v>
      </c>
      <c r="L116" t="s">
        <v>18</v>
      </c>
      <c r="N116">
        <v>33.293999999999997</v>
      </c>
      <c r="O116" t="str">
        <f t="shared" si="2"/>
        <v>OK</v>
      </c>
    </row>
    <row r="117" spans="1:15" x14ac:dyDescent="0.3">
      <c r="A117" t="s">
        <v>14</v>
      </c>
      <c r="B117" t="s">
        <v>15</v>
      </c>
      <c r="C117" t="s">
        <v>16</v>
      </c>
      <c r="D117">
        <v>1</v>
      </c>
      <c r="E117">
        <v>24</v>
      </c>
      <c r="F117" t="s">
        <v>22</v>
      </c>
      <c r="G117">
        <v>6</v>
      </c>
      <c r="H117">
        <v>94.555000000000007</v>
      </c>
      <c r="I117">
        <v>29.125</v>
      </c>
      <c r="J117">
        <v>38.512999999999998</v>
      </c>
      <c r="K117">
        <v>26.917000000000002</v>
      </c>
      <c r="L117" t="s">
        <v>18</v>
      </c>
      <c r="N117">
        <v>0</v>
      </c>
      <c r="O117" t="str">
        <f t="shared" si="2"/>
        <v>OK</v>
      </c>
    </row>
    <row r="118" spans="1:15" x14ac:dyDescent="0.3">
      <c r="A118" t="s">
        <v>19</v>
      </c>
      <c r="B118" t="s">
        <v>20</v>
      </c>
      <c r="C118" t="s">
        <v>21</v>
      </c>
      <c r="D118">
        <v>44</v>
      </c>
      <c r="E118">
        <v>24</v>
      </c>
      <c r="F118" t="s">
        <v>33</v>
      </c>
      <c r="G118">
        <v>2</v>
      </c>
      <c r="H118">
        <v>96.091999999999999</v>
      </c>
      <c r="I118">
        <v>29.821000000000002</v>
      </c>
      <c r="J118">
        <v>39.304000000000002</v>
      </c>
      <c r="K118">
        <v>26.966000000000001</v>
      </c>
      <c r="L118" t="s">
        <v>18</v>
      </c>
      <c r="N118">
        <v>42.124000000000002</v>
      </c>
      <c r="O118" t="str">
        <f t="shared" si="2"/>
        <v>OK</v>
      </c>
    </row>
    <row r="119" spans="1:15" x14ac:dyDescent="0.3">
      <c r="A119" t="s">
        <v>23</v>
      </c>
      <c r="B119" t="s">
        <v>24</v>
      </c>
      <c r="C119" t="s">
        <v>25</v>
      </c>
      <c r="D119">
        <v>14</v>
      </c>
      <c r="E119">
        <v>24</v>
      </c>
      <c r="F119" t="s">
        <v>33</v>
      </c>
      <c r="G119">
        <v>8</v>
      </c>
      <c r="H119">
        <v>96.31</v>
      </c>
      <c r="I119">
        <v>29.632000000000001</v>
      </c>
      <c r="J119">
        <v>39.344000000000001</v>
      </c>
      <c r="K119">
        <v>27.334</v>
      </c>
      <c r="L119" t="s">
        <v>18</v>
      </c>
      <c r="N119">
        <v>27.614999999999998</v>
      </c>
      <c r="O119" t="str">
        <f t="shared" si="2"/>
        <v>OK</v>
      </c>
    </row>
    <row r="120" spans="1:15" x14ac:dyDescent="0.3">
      <c r="A120" t="s">
        <v>26</v>
      </c>
      <c r="B120" t="s">
        <v>27</v>
      </c>
      <c r="C120" t="s">
        <v>28</v>
      </c>
      <c r="D120">
        <v>16</v>
      </c>
      <c r="E120">
        <v>24</v>
      </c>
      <c r="F120" t="s">
        <v>22</v>
      </c>
      <c r="G120">
        <v>4</v>
      </c>
      <c r="H120">
        <v>95.212999999999994</v>
      </c>
      <c r="I120">
        <v>29.548999999999999</v>
      </c>
      <c r="J120">
        <v>38.948</v>
      </c>
      <c r="K120">
        <v>26.716000000000001</v>
      </c>
      <c r="L120" t="s">
        <v>18</v>
      </c>
      <c r="N120">
        <v>24.911999999999999</v>
      </c>
      <c r="O120" t="str">
        <f t="shared" si="2"/>
        <v>OK</v>
      </c>
    </row>
    <row r="121" spans="1:15" x14ac:dyDescent="0.3">
      <c r="A121" t="s">
        <v>29</v>
      </c>
      <c r="B121" t="s">
        <v>30</v>
      </c>
      <c r="C121" t="s">
        <v>31</v>
      </c>
      <c r="D121">
        <v>4</v>
      </c>
      <c r="E121">
        <v>24</v>
      </c>
      <c r="F121" t="s">
        <v>22</v>
      </c>
      <c r="G121">
        <v>24</v>
      </c>
      <c r="H121">
        <v>96.507999999999996</v>
      </c>
      <c r="I121">
        <v>29.635000000000002</v>
      </c>
      <c r="J121">
        <v>39.088000000000001</v>
      </c>
      <c r="K121">
        <v>27.785</v>
      </c>
      <c r="L121" t="s">
        <v>18</v>
      </c>
      <c r="N121">
        <v>35.247</v>
      </c>
      <c r="O121" t="str">
        <f t="shared" si="2"/>
        <v>OK</v>
      </c>
    </row>
    <row r="122" spans="1:15" x14ac:dyDescent="0.3">
      <c r="A122" t="s">
        <v>14</v>
      </c>
      <c r="B122" t="s">
        <v>15</v>
      </c>
      <c r="C122" t="s">
        <v>16</v>
      </c>
      <c r="D122">
        <v>1</v>
      </c>
      <c r="E122">
        <v>25</v>
      </c>
      <c r="F122" t="s">
        <v>22</v>
      </c>
      <c r="G122">
        <v>7</v>
      </c>
      <c r="H122">
        <v>94.606999999999999</v>
      </c>
      <c r="I122">
        <v>29.183</v>
      </c>
      <c r="J122">
        <v>38.524999999999999</v>
      </c>
      <c r="K122">
        <v>26.9</v>
      </c>
      <c r="L122" t="s">
        <v>18</v>
      </c>
      <c r="N122">
        <v>0</v>
      </c>
      <c r="O122" t="str">
        <f t="shared" si="2"/>
        <v>OK</v>
      </c>
    </row>
    <row r="123" spans="1:15" x14ac:dyDescent="0.3">
      <c r="A123" t="s">
        <v>19</v>
      </c>
      <c r="B123" t="s">
        <v>20</v>
      </c>
      <c r="C123" t="s">
        <v>21</v>
      </c>
      <c r="D123">
        <v>44</v>
      </c>
      <c r="E123">
        <v>25</v>
      </c>
      <c r="F123" t="s">
        <v>33</v>
      </c>
      <c r="G123">
        <v>3</v>
      </c>
      <c r="H123">
        <v>96.03</v>
      </c>
      <c r="I123">
        <v>29.771999999999998</v>
      </c>
      <c r="J123">
        <v>39.253</v>
      </c>
      <c r="K123">
        <v>27.004000000000001</v>
      </c>
      <c r="L123" t="s">
        <v>18</v>
      </c>
      <c r="N123">
        <v>43.545999999999999</v>
      </c>
      <c r="O123" t="str">
        <f t="shared" si="2"/>
        <v>OK</v>
      </c>
    </row>
    <row r="124" spans="1:15" x14ac:dyDescent="0.3">
      <c r="A124" t="s">
        <v>23</v>
      </c>
      <c r="B124" t="s">
        <v>24</v>
      </c>
      <c r="C124" t="s">
        <v>25</v>
      </c>
      <c r="D124">
        <v>14</v>
      </c>
      <c r="E124">
        <v>25</v>
      </c>
      <c r="F124" t="s">
        <v>33</v>
      </c>
      <c r="G124">
        <v>9</v>
      </c>
      <c r="H124">
        <v>96.575000000000003</v>
      </c>
      <c r="I124">
        <v>29.881</v>
      </c>
      <c r="J124">
        <v>39.292999999999999</v>
      </c>
      <c r="K124">
        <v>27.401</v>
      </c>
      <c r="L124" t="s">
        <v>18</v>
      </c>
      <c r="N124">
        <v>29.582000000000001</v>
      </c>
      <c r="O124" t="str">
        <f t="shared" si="2"/>
        <v>OK</v>
      </c>
    </row>
    <row r="125" spans="1:15" x14ac:dyDescent="0.3">
      <c r="A125" t="s">
        <v>26</v>
      </c>
      <c r="B125" t="s">
        <v>27</v>
      </c>
      <c r="C125" t="s">
        <v>28</v>
      </c>
      <c r="D125">
        <v>16</v>
      </c>
      <c r="E125">
        <v>25</v>
      </c>
      <c r="F125" t="s">
        <v>22</v>
      </c>
      <c r="G125">
        <v>5</v>
      </c>
      <c r="H125">
        <v>95.384</v>
      </c>
      <c r="I125">
        <v>29.468</v>
      </c>
      <c r="J125">
        <v>38.942999999999998</v>
      </c>
      <c r="K125">
        <v>26.972999999999999</v>
      </c>
      <c r="L125" t="s">
        <v>18</v>
      </c>
      <c r="N125">
        <v>25.689</v>
      </c>
      <c r="O125" t="str">
        <f t="shared" si="2"/>
        <v>OK</v>
      </c>
    </row>
    <row r="126" spans="1:15" x14ac:dyDescent="0.3">
      <c r="A126" t="s">
        <v>29</v>
      </c>
      <c r="B126" t="s">
        <v>30</v>
      </c>
      <c r="C126" t="s">
        <v>31</v>
      </c>
      <c r="D126">
        <v>4</v>
      </c>
      <c r="E126">
        <v>25</v>
      </c>
      <c r="F126" t="s">
        <v>22</v>
      </c>
      <c r="G126">
        <v>25</v>
      </c>
      <c r="H126">
        <v>116.69499999999999</v>
      </c>
      <c r="I126">
        <v>29.617999999999999</v>
      </c>
      <c r="J126">
        <v>39.225000000000001</v>
      </c>
      <c r="K126">
        <v>47.851999999999997</v>
      </c>
      <c r="L126" t="s">
        <v>32</v>
      </c>
      <c r="M126">
        <v>3.8</v>
      </c>
      <c r="N126">
        <v>57.334000000000003</v>
      </c>
      <c r="O126" t="str">
        <f t="shared" si="2"/>
        <v>OK</v>
      </c>
    </row>
    <row r="127" spans="1:15" x14ac:dyDescent="0.3">
      <c r="A127" t="s">
        <v>14</v>
      </c>
      <c r="B127" t="s">
        <v>15</v>
      </c>
      <c r="C127" t="s">
        <v>16</v>
      </c>
      <c r="D127">
        <v>1</v>
      </c>
      <c r="E127">
        <v>26</v>
      </c>
      <c r="F127" t="s">
        <v>22</v>
      </c>
      <c r="G127">
        <v>8</v>
      </c>
      <c r="H127">
        <v>94.331000000000003</v>
      </c>
      <c r="I127">
        <v>29.122</v>
      </c>
      <c r="J127">
        <v>38.436999999999998</v>
      </c>
      <c r="K127">
        <v>26.773</v>
      </c>
      <c r="L127" t="s">
        <v>18</v>
      </c>
      <c r="N127">
        <v>0</v>
      </c>
      <c r="O127" t="str">
        <f t="shared" si="2"/>
        <v>OK</v>
      </c>
    </row>
    <row r="128" spans="1:15" x14ac:dyDescent="0.3">
      <c r="A128" t="s">
        <v>19</v>
      </c>
      <c r="B128" t="s">
        <v>20</v>
      </c>
      <c r="C128" t="s">
        <v>21</v>
      </c>
      <c r="D128">
        <v>44</v>
      </c>
      <c r="E128">
        <v>26</v>
      </c>
      <c r="F128" t="s">
        <v>33</v>
      </c>
      <c r="G128">
        <v>4</v>
      </c>
      <c r="H128">
        <v>95.995000000000005</v>
      </c>
      <c r="I128">
        <v>29.84</v>
      </c>
      <c r="J128">
        <v>39.293999999999997</v>
      </c>
      <c r="K128">
        <v>26.861000000000001</v>
      </c>
      <c r="L128" t="s">
        <v>18</v>
      </c>
      <c r="N128">
        <v>45.21</v>
      </c>
      <c r="O128" t="str">
        <f t="shared" si="2"/>
        <v>OK</v>
      </c>
    </row>
    <row r="129" spans="1:15" x14ac:dyDescent="0.3">
      <c r="A129" t="s">
        <v>23</v>
      </c>
      <c r="B129" t="s">
        <v>24</v>
      </c>
      <c r="C129" t="s">
        <v>25</v>
      </c>
      <c r="D129">
        <v>14</v>
      </c>
      <c r="E129">
        <v>26</v>
      </c>
      <c r="F129" t="s">
        <v>33</v>
      </c>
      <c r="G129">
        <v>10</v>
      </c>
      <c r="H129">
        <v>96.039000000000001</v>
      </c>
      <c r="I129">
        <v>29.648</v>
      </c>
      <c r="J129">
        <v>39.395000000000003</v>
      </c>
      <c r="K129">
        <v>26.995999999999999</v>
      </c>
      <c r="L129" t="s">
        <v>18</v>
      </c>
      <c r="N129">
        <v>31.289000000000001</v>
      </c>
      <c r="O129" t="str">
        <f t="shared" si="2"/>
        <v>OK</v>
      </c>
    </row>
    <row r="130" spans="1:15" x14ac:dyDescent="0.3">
      <c r="A130" t="s">
        <v>26</v>
      </c>
      <c r="B130" t="s">
        <v>27</v>
      </c>
      <c r="C130" t="s">
        <v>28</v>
      </c>
      <c r="D130">
        <v>16</v>
      </c>
      <c r="E130">
        <v>26</v>
      </c>
      <c r="F130" t="s">
        <v>22</v>
      </c>
      <c r="G130">
        <v>6</v>
      </c>
      <c r="H130">
        <v>95.049000000000007</v>
      </c>
      <c r="I130">
        <v>29.391999999999999</v>
      </c>
      <c r="J130">
        <v>38.886000000000003</v>
      </c>
      <c r="K130">
        <v>26.77</v>
      </c>
      <c r="L130" t="s">
        <v>18</v>
      </c>
      <c r="N130">
        <v>26.407</v>
      </c>
      <c r="O130" t="str">
        <f t="shared" ref="O130:O193" si="3">IF(ABS((I130+J130+K130)-H130)&lt;0.01, "OK", "MISMATCH" )</f>
        <v>OK</v>
      </c>
    </row>
    <row r="131" spans="1:15" x14ac:dyDescent="0.3">
      <c r="A131" t="s">
        <v>29</v>
      </c>
      <c r="B131" t="s">
        <v>30</v>
      </c>
      <c r="C131" t="s">
        <v>31</v>
      </c>
      <c r="D131">
        <v>4</v>
      </c>
      <c r="E131">
        <v>26</v>
      </c>
      <c r="F131" t="s">
        <v>17</v>
      </c>
      <c r="G131">
        <v>1</v>
      </c>
      <c r="H131">
        <v>93.974000000000004</v>
      </c>
      <c r="I131">
        <v>29.376999999999999</v>
      </c>
      <c r="J131">
        <v>38.597999999999999</v>
      </c>
      <c r="K131">
        <v>25.998999999999999</v>
      </c>
      <c r="L131" t="s">
        <v>18</v>
      </c>
      <c r="N131">
        <v>56.976999999999997</v>
      </c>
      <c r="O131" t="str">
        <f t="shared" si="3"/>
        <v>OK</v>
      </c>
    </row>
    <row r="132" spans="1:15" x14ac:dyDescent="0.3">
      <c r="A132" t="s">
        <v>14</v>
      </c>
      <c r="B132" t="s">
        <v>15</v>
      </c>
      <c r="C132" t="s">
        <v>16</v>
      </c>
      <c r="D132">
        <v>1</v>
      </c>
      <c r="E132">
        <v>27</v>
      </c>
      <c r="F132" t="s">
        <v>22</v>
      </c>
      <c r="G132">
        <v>9</v>
      </c>
      <c r="H132">
        <v>94.45</v>
      </c>
      <c r="I132">
        <v>29.062999999999999</v>
      </c>
      <c r="J132">
        <v>38.430999999999997</v>
      </c>
      <c r="K132">
        <v>26.956</v>
      </c>
      <c r="L132" t="s">
        <v>18</v>
      </c>
      <c r="N132">
        <v>0</v>
      </c>
      <c r="O132" t="str">
        <f t="shared" si="3"/>
        <v>OK</v>
      </c>
    </row>
    <row r="133" spans="1:15" x14ac:dyDescent="0.3">
      <c r="A133" t="s">
        <v>19</v>
      </c>
      <c r="B133" t="s">
        <v>20</v>
      </c>
      <c r="C133" t="s">
        <v>21</v>
      </c>
      <c r="D133">
        <v>44</v>
      </c>
      <c r="E133">
        <v>27</v>
      </c>
      <c r="F133" t="s">
        <v>33</v>
      </c>
      <c r="G133">
        <v>5</v>
      </c>
      <c r="H133">
        <v>95.98</v>
      </c>
      <c r="I133">
        <v>29.707999999999998</v>
      </c>
      <c r="J133">
        <v>39.19</v>
      </c>
      <c r="K133">
        <v>27.082000000000001</v>
      </c>
      <c r="L133" t="s">
        <v>18</v>
      </c>
      <c r="N133">
        <v>46.738999999999997</v>
      </c>
      <c r="O133" t="str">
        <f t="shared" si="3"/>
        <v>OK</v>
      </c>
    </row>
    <row r="134" spans="1:15" x14ac:dyDescent="0.3">
      <c r="A134" t="s">
        <v>23</v>
      </c>
      <c r="B134" t="s">
        <v>24</v>
      </c>
      <c r="C134" t="s">
        <v>25</v>
      </c>
      <c r="D134">
        <v>14</v>
      </c>
      <c r="E134">
        <v>27</v>
      </c>
      <c r="F134" t="s">
        <v>33</v>
      </c>
      <c r="G134">
        <v>11</v>
      </c>
      <c r="H134">
        <v>96.602000000000004</v>
      </c>
      <c r="I134">
        <v>29.853999999999999</v>
      </c>
      <c r="J134">
        <v>39.488999999999997</v>
      </c>
      <c r="K134">
        <v>27.259</v>
      </c>
      <c r="L134" t="s">
        <v>18</v>
      </c>
      <c r="N134">
        <v>33.442</v>
      </c>
      <c r="O134" t="str">
        <f t="shared" si="3"/>
        <v>OK</v>
      </c>
    </row>
    <row r="135" spans="1:15" x14ac:dyDescent="0.3">
      <c r="A135" t="s">
        <v>26</v>
      </c>
      <c r="B135" t="s">
        <v>27</v>
      </c>
      <c r="C135" t="s">
        <v>28</v>
      </c>
      <c r="D135">
        <v>16</v>
      </c>
      <c r="E135">
        <v>27</v>
      </c>
      <c r="F135" t="s">
        <v>22</v>
      </c>
      <c r="G135">
        <v>7</v>
      </c>
      <c r="H135">
        <v>95.447999999999993</v>
      </c>
      <c r="I135">
        <v>29.373000000000001</v>
      </c>
      <c r="J135">
        <v>39.110999999999997</v>
      </c>
      <c r="K135">
        <v>26.963000000000001</v>
      </c>
      <c r="L135" t="s">
        <v>18</v>
      </c>
      <c r="N135">
        <v>27.404</v>
      </c>
      <c r="O135" t="str">
        <f t="shared" si="3"/>
        <v>OK</v>
      </c>
    </row>
    <row r="136" spans="1:15" x14ac:dyDescent="0.3">
      <c r="A136" t="s">
        <v>29</v>
      </c>
      <c r="B136" t="s">
        <v>30</v>
      </c>
      <c r="C136" t="s">
        <v>31</v>
      </c>
      <c r="D136">
        <v>4</v>
      </c>
      <c r="E136">
        <v>27</v>
      </c>
      <c r="F136" t="s">
        <v>17</v>
      </c>
      <c r="G136">
        <v>2</v>
      </c>
      <c r="H136">
        <v>94.182000000000002</v>
      </c>
      <c r="I136">
        <v>29.254999999999999</v>
      </c>
      <c r="J136">
        <v>38.542000000000002</v>
      </c>
      <c r="K136">
        <v>26.385000000000002</v>
      </c>
      <c r="L136" t="s">
        <v>18</v>
      </c>
      <c r="N136">
        <v>56.709000000000003</v>
      </c>
      <c r="O136" t="str">
        <f t="shared" si="3"/>
        <v>OK</v>
      </c>
    </row>
    <row r="137" spans="1:15" x14ac:dyDescent="0.3">
      <c r="A137" t="s">
        <v>14</v>
      </c>
      <c r="B137" t="s">
        <v>15</v>
      </c>
      <c r="C137" t="s">
        <v>16</v>
      </c>
      <c r="D137">
        <v>1</v>
      </c>
      <c r="E137">
        <v>28</v>
      </c>
      <c r="F137" t="s">
        <v>22</v>
      </c>
      <c r="G137">
        <v>10</v>
      </c>
      <c r="H137">
        <v>94.522000000000006</v>
      </c>
      <c r="I137">
        <v>29.103000000000002</v>
      </c>
      <c r="J137">
        <v>38.451999999999998</v>
      </c>
      <c r="K137">
        <v>26.968</v>
      </c>
      <c r="L137" t="s">
        <v>18</v>
      </c>
      <c r="N137">
        <v>0</v>
      </c>
      <c r="O137" t="str">
        <f t="shared" si="3"/>
        <v>OK</v>
      </c>
    </row>
    <row r="138" spans="1:15" x14ac:dyDescent="0.3">
      <c r="A138" t="s">
        <v>19</v>
      </c>
      <c r="B138" t="s">
        <v>20</v>
      </c>
      <c r="C138" t="s">
        <v>21</v>
      </c>
      <c r="D138">
        <v>44</v>
      </c>
      <c r="E138">
        <v>28</v>
      </c>
      <c r="F138" t="s">
        <v>33</v>
      </c>
      <c r="G138">
        <v>6</v>
      </c>
      <c r="H138">
        <v>96.277000000000001</v>
      </c>
      <c r="I138">
        <v>29.745000000000001</v>
      </c>
      <c r="J138">
        <v>39.331000000000003</v>
      </c>
      <c r="K138">
        <v>27.2</v>
      </c>
      <c r="L138" t="s">
        <v>18</v>
      </c>
      <c r="N138">
        <v>48.494</v>
      </c>
      <c r="O138" t="str">
        <f t="shared" si="3"/>
        <v>OK</v>
      </c>
    </row>
    <row r="139" spans="1:15" x14ac:dyDescent="0.3">
      <c r="A139" t="s">
        <v>23</v>
      </c>
      <c r="B139" t="s">
        <v>24</v>
      </c>
      <c r="C139" t="s">
        <v>25</v>
      </c>
      <c r="D139">
        <v>14</v>
      </c>
      <c r="E139">
        <v>28</v>
      </c>
      <c r="F139" t="s">
        <v>33</v>
      </c>
      <c r="G139">
        <v>12</v>
      </c>
      <c r="H139">
        <v>96.593000000000004</v>
      </c>
      <c r="I139">
        <v>29.814</v>
      </c>
      <c r="J139">
        <v>39.32</v>
      </c>
      <c r="K139">
        <v>27.457999999999998</v>
      </c>
      <c r="L139" t="s">
        <v>18</v>
      </c>
      <c r="N139">
        <v>35.512</v>
      </c>
      <c r="O139" t="str">
        <f t="shared" si="3"/>
        <v>OK</v>
      </c>
    </row>
    <row r="140" spans="1:15" x14ac:dyDescent="0.3">
      <c r="A140" t="s">
        <v>26</v>
      </c>
      <c r="B140" t="s">
        <v>27</v>
      </c>
      <c r="C140" t="s">
        <v>28</v>
      </c>
      <c r="D140">
        <v>16</v>
      </c>
      <c r="E140">
        <v>28</v>
      </c>
      <c r="F140" t="s">
        <v>22</v>
      </c>
      <c r="G140">
        <v>8</v>
      </c>
      <c r="H140">
        <v>95.356999999999999</v>
      </c>
      <c r="I140">
        <v>29.370999999999999</v>
      </c>
      <c r="J140">
        <v>39.116</v>
      </c>
      <c r="K140">
        <v>26.87</v>
      </c>
      <c r="L140" t="s">
        <v>18</v>
      </c>
      <c r="N140">
        <v>28.239000000000001</v>
      </c>
      <c r="O140" t="str">
        <f t="shared" si="3"/>
        <v>OK</v>
      </c>
    </row>
    <row r="141" spans="1:15" x14ac:dyDescent="0.3">
      <c r="A141" t="s">
        <v>29</v>
      </c>
      <c r="B141" t="s">
        <v>30</v>
      </c>
      <c r="C141" t="s">
        <v>31</v>
      </c>
      <c r="D141">
        <v>4</v>
      </c>
      <c r="E141">
        <v>28</v>
      </c>
      <c r="F141" t="s">
        <v>17</v>
      </c>
      <c r="G141">
        <v>3</v>
      </c>
      <c r="H141">
        <v>94.459000000000003</v>
      </c>
      <c r="I141">
        <v>29.231000000000002</v>
      </c>
      <c r="J141">
        <v>38.56</v>
      </c>
      <c r="K141">
        <v>26.669</v>
      </c>
      <c r="L141" t="s">
        <v>18</v>
      </c>
      <c r="N141">
        <v>56.646000000000001</v>
      </c>
      <c r="O141" t="str">
        <f t="shared" si="3"/>
        <v>OK</v>
      </c>
    </row>
    <row r="142" spans="1:15" x14ac:dyDescent="0.3">
      <c r="A142" t="s">
        <v>14</v>
      </c>
      <c r="B142" t="s">
        <v>15</v>
      </c>
      <c r="C142" t="s">
        <v>16</v>
      </c>
      <c r="D142">
        <v>1</v>
      </c>
      <c r="E142">
        <v>29</v>
      </c>
      <c r="F142" t="s">
        <v>22</v>
      </c>
      <c r="G142">
        <v>11</v>
      </c>
      <c r="H142">
        <v>94.305000000000007</v>
      </c>
      <c r="I142">
        <v>29.122</v>
      </c>
      <c r="J142">
        <v>38.689</v>
      </c>
      <c r="K142">
        <v>26.492999999999999</v>
      </c>
      <c r="L142" t="s">
        <v>18</v>
      </c>
      <c r="N142">
        <v>0</v>
      </c>
      <c r="O142" t="str">
        <f t="shared" si="3"/>
        <v>OK</v>
      </c>
    </row>
    <row r="143" spans="1:15" x14ac:dyDescent="0.3">
      <c r="A143" t="s">
        <v>19</v>
      </c>
      <c r="B143" t="s">
        <v>20</v>
      </c>
      <c r="C143" t="s">
        <v>21</v>
      </c>
      <c r="D143">
        <v>44</v>
      </c>
      <c r="E143">
        <v>29</v>
      </c>
      <c r="F143" t="s">
        <v>33</v>
      </c>
      <c r="G143">
        <v>7</v>
      </c>
      <c r="H143">
        <v>95.847999999999999</v>
      </c>
      <c r="I143">
        <v>29.629000000000001</v>
      </c>
      <c r="J143">
        <v>39.421999999999997</v>
      </c>
      <c r="K143">
        <v>26.797000000000001</v>
      </c>
      <c r="L143" t="s">
        <v>18</v>
      </c>
      <c r="N143">
        <v>50.036999999999999</v>
      </c>
      <c r="O143" t="str">
        <f t="shared" si="3"/>
        <v>OK</v>
      </c>
    </row>
    <row r="144" spans="1:15" x14ac:dyDescent="0.3">
      <c r="A144" t="s">
        <v>23</v>
      </c>
      <c r="B144" t="s">
        <v>24</v>
      </c>
      <c r="C144" t="s">
        <v>25</v>
      </c>
      <c r="D144">
        <v>14</v>
      </c>
      <c r="E144">
        <v>29</v>
      </c>
      <c r="F144" t="s">
        <v>33</v>
      </c>
      <c r="G144">
        <v>13</v>
      </c>
      <c r="H144">
        <v>96.421999999999997</v>
      </c>
      <c r="I144">
        <v>29.669</v>
      </c>
      <c r="J144">
        <v>39.380000000000003</v>
      </c>
      <c r="K144">
        <v>27.372</v>
      </c>
      <c r="L144" t="s">
        <v>18</v>
      </c>
      <c r="N144">
        <v>37.628999999999998</v>
      </c>
      <c r="O144" t="str">
        <f t="shared" si="3"/>
        <v>OK</v>
      </c>
    </row>
    <row r="145" spans="1:15" x14ac:dyDescent="0.3">
      <c r="A145" t="s">
        <v>26</v>
      </c>
      <c r="B145" t="s">
        <v>27</v>
      </c>
      <c r="C145" t="s">
        <v>28</v>
      </c>
      <c r="D145">
        <v>16</v>
      </c>
      <c r="E145">
        <v>29</v>
      </c>
      <c r="F145" t="s">
        <v>22</v>
      </c>
      <c r="G145">
        <v>9</v>
      </c>
      <c r="H145">
        <v>95.722999999999999</v>
      </c>
      <c r="I145">
        <v>29.513999999999999</v>
      </c>
      <c r="J145">
        <v>39.011000000000003</v>
      </c>
      <c r="K145">
        <v>27.198</v>
      </c>
      <c r="L145" t="s">
        <v>18</v>
      </c>
      <c r="N145">
        <v>29.658000000000001</v>
      </c>
      <c r="O145" t="str">
        <f t="shared" si="3"/>
        <v>OK</v>
      </c>
    </row>
    <row r="146" spans="1:15" x14ac:dyDescent="0.3">
      <c r="A146" t="s">
        <v>29</v>
      </c>
      <c r="B146" t="s">
        <v>30</v>
      </c>
      <c r="C146" t="s">
        <v>31</v>
      </c>
      <c r="D146">
        <v>4</v>
      </c>
      <c r="E146">
        <v>29</v>
      </c>
      <c r="F146" t="s">
        <v>17</v>
      </c>
      <c r="G146">
        <v>4</v>
      </c>
      <c r="H146">
        <v>94.271000000000001</v>
      </c>
      <c r="I146">
        <v>29.349</v>
      </c>
      <c r="J146">
        <v>38.506999999999998</v>
      </c>
      <c r="K146">
        <v>26.414000000000001</v>
      </c>
      <c r="L146" t="s">
        <v>18</v>
      </c>
      <c r="N146">
        <v>56.612000000000002</v>
      </c>
      <c r="O146" t="str">
        <f t="shared" si="3"/>
        <v>OK</v>
      </c>
    </row>
    <row r="147" spans="1:15" x14ac:dyDescent="0.3">
      <c r="A147" t="s">
        <v>14</v>
      </c>
      <c r="B147" t="s">
        <v>15</v>
      </c>
      <c r="C147" t="s">
        <v>16</v>
      </c>
      <c r="D147">
        <v>1</v>
      </c>
      <c r="E147">
        <v>30</v>
      </c>
      <c r="F147" t="s">
        <v>22</v>
      </c>
      <c r="G147">
        <v>12</v>
      </c>
      <c r="H147">
        <v>94.694000000000003</v>
      </c>
      <c r="I147">
        <v>29.169</v>
      </c>
      <c r="J147">
        <v>38.555</v>
      </c>
      <c r="K147">
        <v>26.969000000000001</v>
      </c>
      <c r="L147" t="s">
        <v>18</v>
      </c>
      <c r="N147">
        <v>0</v>
      </c>
      <c r="O147" t="str">
        <f t="shared" si="3"/>
        <v>OK</v>
      </c>
    </row>
    <row r="148" spans="1:15" x14ac:dyDescent="0.3">
      <c r="A148" t="s">
        <v>19</v>
      </c>
      <c r="B148" t="s">
        <v>20</v>
      </c>
      <c r="C148" t="s">
        <v>21</v>
      </c>
      <c r="D148">
        <v>44</v>
      </c>
      <c r="E148">
        <v>30</v>
      </c>
      <c r="F148" t="s">
        <v>33</v>
      </c>
      <c r="G148">
        <v>8</v>
      </c>
      <c r="H148">
        <v>96.015000000000001</v>
      </c>
      <c r="I148">
        <v>29.664000000000001</v>
      </c>
      <c r="J148">
        <v>39.478999999999999</v>
      </c>
      <c r="K148">
        <v>26.872</v>
      </c>
      <c r="L148" t="s">
        <v>18</v>
      </c>
      <c r="N148">
        <v>51.359000000000002</v>
      </c>
      <c r="O148" t="str">
        <f t="shared" si="3"/>
        <v>OK</v>
      </c>
    </row>
    <row r="149" spans="1:15" x14ac:dyDescent="0.3">
      <c r="A149" t="s">
        <v>23</v>
      </c>
      <c r="B149" t="s">
        <v>24</v>
      </c>
      <c r="C149" t="s">
        <v>25</v>
      </c>
      <c r="D149">
        <v>14</v>
      </c>
      <c r="E149">
        <v>30</v>
      </c>
      <c r="F149" t="s">
        <v>33</v>
      </c>
      <c r="G149">
        <v>14</v>
      </c>
      <c r="H149">
        <v>96.486999999999995</v>
      </c>
      <c r="I149">
        <v>29.777000000000001</v>
      </c>
      <c r="J149">
        <v>39.398000000000003</v>
      </c>
      <c r="K149">
        <v>27.312000000000001</v>
      </c>
      <c r="L149" t="s">
        <v>18</v>
      </c>
      <c r="N149">
        <v>39.421999999999997</v>
      </c>
      <c r="O149" t="str">
        <f t="shared" si="3"/>
        <v>OK</v>
      </c>
    </row>
    <row r="150" spans="1:15" x14ac:dyDescent="0.3">
      <c r="A150" t="s">
        <v>26</v>
      </c>
      <c r="B150" t="s">
        <v>27</v>
      </c>
      <c r="C150" t="s">
        <v>28</v>
      </c>
      <c r="D150">
        <v>16</v>
      </c>
      <c r="E150">
        <v>30</v>
      </c>
      <c r="F150" t="s">
        <v>22</v>
      </c>
      <c r="G150">
        <v>10</v>
      </c>
      <c r="H150">
        <v>95.796999999999997</v>
      </c>
      <c r="I150">
        <v>29.472000000000001</v>
      </c>
      <c r="J150">
        <v>39.045000000000002</v>
      </c>
      <c r="K150">
        <v>27.28</v>
      </c>
      <c r="L150" t="s">
        <v>18</v>
      </c>
      <c r="N150">
        <v>30.760999999999999</v>
      </c>
      <c r="O150" t="str">
        <f t="shared" si="3"/>
        <v>OK</v>
      </c>
    </row>
    <row r="151" spans="1:15" x14ac:dyDescent="0.3">
      <c r="A151" t="s">
        <v>29</v>
      </c>
      <c r="B151" t="s">
        <v>30</v>
      </c>
      <c r="C151" t="s">
        <v>31</v>
      </c>
      <c r="D151">
        <v>4</v>
      </c>
      <c r="E151">
        <v>30</v>
      </c>
      <c r="F151" t="s">
        <v>17</v>
      </c>
      <c r="G151">
        <v>5</v>
      </c>
      <c r="H151">
        <v>94.350999999999999</v>
      </c>
      <c r="I151">
        <v>29.335999999999999</v>
      </c>
      <c r="J151">
        <v>38.649000000000001</v>
      </c>
      <c r="K151">
        <v>26.366</v>
      </c>
      <c r="L151" t="s">
        <v>18</v>
      </c>
      <c r="N151">
        <v>56.27</v>
      </c>
      <c r="O151" t="str">
        <f t="shared" si="3"/>
        <v>OK</v>
      </c>
    </row>
    <row r="152" spans="1:15" x14ac:dyDescent="0.3">
      <c r="A152" t="s">
        <v>14</v>
      </c>
      <c r="B152" t="s">
        <v>15</v>
      </c>
      <c r="C152" t="s">
        <v>16</v>
      </c>
      <c r="D152">
        <v>1</v>
      </c>
      <c r="E152">
        <v>31</v>
      </c>
      <c r="F152" t="s">
        <v>22</v>
      </c>
      <c r="G152">
        <v>13</v>
      </c>
      <c r="H152">
        <v>94.522000000000006</v>
      </c>
      <c r="I152">
        <v>29.167999999999999</v>
      </c>
      <c r="J152">
        <v>38.692999999999998</v>
      </c>
      <c r="K152">
        <v>26.661999999999999</v>
      </c>
      <c r="L152" t="s">
        <v>18</v>
      </c>
      <c r="N152">
        <v>0</v>
      </c>
      <c r="O152" t="str">
        <f t="shared" si="3"/>
        <v>OK</v>
      </c>
    </row>
    <row r="153" spans="1:15" x14ac:dyDescent="0.3">
      <c r="A153" t="s">
        <v>19</v>
      </c>
      <c r="B153" t="s">
        <v>20</v>
      </c>
      <c r="C153" t="s">
        <v>21</v>
      </c>
      <c r="D153">
        <v>44</v>
      </c>
      <c r="E153">
        <v>31</v>
      </c>
      <c r="F153" t="s">
        <v>33</v>
      </c>
      <c r="G153">
        <v>9</v>
      </c>
      <c r="H153">
        <v>96.286000000000001</v>
      </c>
      <c r="I153">
        <v>29.869</v>
      </c>
      <c r="J153">
        <v>39.298000000000002</v>
      </c>
      <c r="K153">
        <v>27.119</v>
      </c>
      <c r="L153" t="s">
        <v>18</v>
      </c>
      <c r="N153">
        <v>53.122999999999998</v>
      </c>
      <c r="O153" t="str">
        <f t="shared" si="3"/>
        <v>OK</v>
      </c>
    </row>
    <row r="154" spans="1:15" x14ac:dyDescent="0.3">
      <c r="A154" t="s">
        <v>23</v>
      </c>
      <c r="B154" t="s">
        <v>24</v>
      </c>
      <c r="C154" t="s">
        <v>25</v>
      </c>
      <c r="D154">
        <v>14</v>
      </c>
      <c r="E154">
        <v>31</v>
      </c>
      <c r="F154" t="s">
        <v>33</v>
      </c>
      <c r="G154">
        <v>15</v>
      </c>
      <c r="H154">
        <v>96.686999999999998</v>
      </c>
      <c r="I154">
        <v>29.795000000000002</v>
      </c>
      <c r="J154">
        <v>39.478000000000002</v>
      </c>
      <c r="K154">
        <v>27.414000000000001</v>
      </c>
      <c r="L154" t="s">
        <v>18</v>
      </c>
      <c r="N154">
        <v>41.587000000000003</v>
      </c>
      <c r="O154" t="str">
        <f t="shared" si="3"/>
        <v>OK</v>
      </c>
    </row>
    <row r="155" spans="1:15" x14ac:dyDescent="0.3">
      <c r="A155" t="s">
        <v>26</v>
      </c>
      <c r="B155" t="s">
        <v>27</v>
      </c>
      <c r="C155" t="s">
        <v>28</v>
      </c>
      <c r="D155">
        <v>16</v>
      </c>
      <c r="E155">
        <v>31</v>
      </c>
      <c r="F155" t="s">
        <v>22</v>
      </c>
      <c r="G155">
        <v>11</v>
      </c>
      <c r="H155">
        <v>95.882999999999996</v>
      </c>
      <c r="I155">
        <v>29.446000000000002</v>
      </c>
      <c r="J155">
        <v>38.972999999999999</v>
      </c>
      <c r="K155">
        <v>27.463999999999999</v>
      </c>
      <c r="L155" t="s">
        <v>18</v>
      </c>
      <c r="N155">
        <v>32.122</v>
      </c>
      <c r="O155" t="str">
        <f t="shared" si="3"/>
        <v>OK</v>
      </c>
    </row>
    <row r="156" spans="1:15" x14ac:dyDescent="0.3">
      <c r="A156" t="s">
        <v>29</v>
      </c>
      <c r="B156" t="s">
        <v>30</v>
      </c>
      <c r="C156" t="s">
        <v>31</v>
      </c>
      <c r="D156">
        <v>4</v>
      </c>
      <c r="E156">
        <v>31</v>
      </c>
      <c r="F156" t="s">
        <v>17</v>
      </c>
      <c r="G156">
        <v>6</v>
      </c>
      <c r="H156">
        <v>94.388000000000005</v>
      </c>
      <c r="I156">
        <v>29.215</v>
      </c>
      <c r="J156">
        <v>38.793999999999997</v>
      </c>
      <c r="K156">
        <v>26.378</v>
      </c>
      <c r="L156" t="s">
        <v>18</v>
      </c>
      <c r="N156">
        <v>56.136000000000003</v>
      </c>
      <c r="O156" t="str">
        <f t="shared" si="3"/>
        <v>OK</v>
      </c>
    </row>
    <row r="157" spans="1:15" x14ac:dyDescent="0.3">
      <c r="A157" t="s">
        <v>14</v>
      </c>
      <c r="B157" t="s">
        <v>15</v>
      </c>
      <c r="C157" t="s">
        <v>16</v>
      </c>
      <c r="D157">
        <v>1</v>
      </c>
      <c r="E157">
        <v>32</v>
      </c>
      <c r="F157" t="s">
        <v>22</v>
      </c>
      <c r="G157">
        <v>14</v>
      </c>
      <c r="H157">
        <v>94.492000000000004</v>
      </c>
      <c r="I157">
        <v>29.265999999999998</v>
      </c>
      <c r="J157">
        <v>38.561</v>
      </c>
      <c r="K157">
        <v>26.664000000000001</v>
      </c>
      <c r="L157" t="s">
        <v>18</v>
      </c>
      <c r="N157">
        <v>0</v>
      </c>
      <c r="O157" t="str">
        <f t="shared" si="3"/>
        <v>OK</v>
      </c>
    </row>
    <row r="158" spans="1:15" x14ac:dyDescent="0.3">
      <c r="A158" t="s">
        <v>19</v>
      </c>
      <c r="B158" t="s">
        <v>20</v>
      </c>
      <c r="C158" t="s">
        <v>21</v>
      </c>
      <c r="D158">
        <v>44</v>
      </c>
      <c r="E158">
        <v>32</v>
      </c>
      <c r="F158" t="s">
        <v>33</v>
      </c>
      <c r="G158">
        <v>10</v>
      </c>
      <c r="H158">
        <v>96.521000000000001</v>
      </c>
      <c r="I158">
        <v>29.853000000000002</v>
      </c>
      <c r="J158">
        <v>39.473999999999997</v>
      </c>
      <c r="K158">
        <v>27.193999999999999</v>
      </c>
      <c r="L158" t="s">
        <v>18</v>
      </c>
      <c r="N158">
        <v>55.152000000000001</v>
      </c>
      <c r="O158" t="str">
        <f t="shared" si="3"/>
        <v>OK</v>
      </c>
    </row>
    <row r="159" spans="1:15" x14ac:dyDescent="0.3">
      <c r="A159" t="s">
        <v>23</v>
      </c>
      <c r="B159" t="s">
        <v>24</v>
      </c>
      <c r="C159" t="s">
        <v>25</v>
      </c>
      <c r="D159">
        <v>14</v>
      </c>
      <c r="E159">
        <v>32</v>
      </c>
      <c r="F159" t="s">
        <v>33</v>
      </c>
      <c r="G159">
        <v>16</v>
      </c>
      <c r="H159">
        <v>96.753</v>
      </c>
      <c r="I159">
        <v>29.638000000000002</v>
      </c>
      <c r="J159">
        <v>39.512999999999998</v>
      </c>
      <c r="K159">
        <v>27.603000000000002</v>
      </c>
      <c r="L159" t="s">
        <v>18</v>
      </c>
      <c r="N159">
        <v>43.847999999999999</v>
      </c>
      <c r="O159" t="str">
        <f t="shared" si="3"/>
        <v>OK</v>
      </c>
    </row>
    <row r="160" spans="1:15" x14ac:dyDescent="0.3">
      <c r="A160" t="s">
        <v>26</v>
      </c>
      <c r="B160" t="s">
        <v>27</v>
      </c>
      <c r="C160" t="s">
        <v>28</v>
      </c>
      <c r="D160">
        <v>16</v>
      </c>
      <c r="E160">
        <v>32</v>
      </c>
      <c r="F160" t="s">
        <v>22</v>
      </c>
      <c r="G160">
        <v>12</v>
      </c>
      <c r="H160">
        <v>95.566000000000003</v>
      </c>
      <c r="I160">
        <v>29.385999999999999</v>
      </c>
      <c r="J160">
        <v>39.122999999999998</v>
      </c>
      <c r="K160">
        <v>27.058</v>
      </c>
      <c r="L160" t="s">
        <v>18</v>
      </c>
      <c r="N160">
        <v>33.195999999999998</v>
      </c>
      <c r="O160" t="str">
        <f t="shared" si="3"/>
        <v>OK</v>
      </c>
    </row>
    <row r="161" spans="1:15" x14ac:dyDescent="0.3">
      <c r="A161" t="s">
        <v>29</v>
      </c>
      <c r="B161" t="s">
        <v>30</v>
      </c>
      <c r="C161" t="s">
        <v>31</v>
      </c>
      <c r="D161">
        <v>4</v>
      </c>
      <c r="E161">
        <v>32</v>
      </c>
      <c r="F161" t="s">
        <v>17</v>
      </c>
      <c r="G161">
        <v>7</v>
      </c>
      <c r="H161">
        <v>94.623000000000005</v>
      </c>
      <c r="I161">
        <v>29.244</v>
      </c>
      <c r="J161">
        <v>38.582000000000001</v>
      </c>
      <c r="K161">
        <v>26.797000000000001</v>
      </c>
      <c r="L161" t="s">
        <v>18</v>
      </c>
      <c r="N161">
        <v>56.267000000000003</v>
      </c>
      <c r="O161" t="str">
        <f t="shared" si="3"/>
        <v>OK</v>
      </c>
    </row>
    <row r="162" spans="1:15" x14ac:dyDescent="0.3">
      <c r="A162" t="s">
        <v>14</v>
      </c>
      <c r="B162" t="s">
        <v>15</v>
      </c>
      <c r="C162" t="s">
        <v>16</v>
      </c>
      <c r="D162">
        <v>1</v>
      </c>
      <c r="E162">
        <v>33</v>
      </c>
      <c r="F162" t="s">
        <v>22</v>
      </c>
      <c r="G162">
        <v>15</v>
      </c>
      <c r="H162">
        <v>94.697999999999993</v>
      </c>
      <c r="I162">
        <v>29.126999999999999</v>
      </c>
      <c r="J162">
        <v>38.726999999999997</v>
      </c>
      <c r="K162">
        <v>26.844000000000001</v>
      </c>
      <c r="L162" t="s">
        <v>18</v>
      </c>
      <c r="N162">
        <v>0</v>
      </c>
      <c r="O162" t="str">
        <f t="shared" si="3"/>
        <v>OK</v>
      </c>
    </row>
    <row r="163" spans="1:15" x14ac:dyDescent="0.3">
      <c r="A163" t="s">
        <v>19</v>
      </c>
      <c r="B163" t="s">
        <v>20</v>
      </c>
      <c r="C163" t="s">
        <v>21</v>
      </c>
      <c r="D163">
        <v>44</v>
      </c>
      <c r="E163">
        <v>33</v>
      </c>
      <c r="F163" t="s">
        <v>33</v>
      </c>
      <c r="G163">
        <v>11</v>
      </c>
      <c r="H163">
        <v>96.417000000000002</v>
      </c>
      <c r="I163">
        <v>29.622</v>
      </c>
      <c r="J163">
        <v>39.243000000000002</v>
      </c>
      <c r="K163">
        <v>27.553000000000001</v>
      </c>
      <c r="L163" t="s">
        <v>18</v>
      </c>
      <c r="N163">
        <v>56.871000000000002</v>
      </c>
      <c r="O163" t="str">
        <f t="shared" si="3"/>
        <v>OK</v>
      </c>
    </row>
    <row r="164" spans="1:15" x14ac:dyDescent="0.3">
      <c r="A164" t="s">
        <v>23</v>
      </c>
      <c r="B164" t="s">
        <v>24</v>
      </c>
      <c r="C164" t="s">
        <v>25</v>
      </c>
      <c r="D164">
        <v>14</v>
      </c>
      <c r="E164">
        <v>33</v>
      </c>
      <c r="F164" t="s">
        <v>33</v>
      </c>
      <c r="G164">
        <v>17</v>
      </c>
      <c r="H164">
        <v>96.632000000000005</v>
      </c>
      <c r="I164">
        <v>29.850999999999999</v>
      </c>
      <c r="J164">
        <v>39.302999999999997</v>
      </c>
      <c r="K164">
        <v>27.478000000000002</v>
      </c>
      <c r="L164" t="s">
        <v>18</v>
      </c>
      <c r="N164">
        <v>45.783000000000001</v>
      </c>
      <c r="O164" t="str">
        <f t="shared" si="3"/>
        <v>OK</v>
      </c>
    </row>
    <row r="165" spans="1:15" x14ac:dyDescent="0.3">
      <c r="A165" t="s">
        <v>26</v>
      </c>
      <c r="B165" t="s">
        <v>27</v>
      </c>
      <c r="C165" t="s">
        <v>28</v>
      </c>
      <c r="D165">
        <v>16</v>
      </c>
      <c r="E165">
        <v>33</v>
      </c>
      <c r="F165" t="s">
        <v>22</v>
      </c>
      <c r="G165">
        <v>13</v>
      </c>
      <c r="H165">
        <v>95.656999999999996</v>
      </c>
      <c r="I165">
        <v>29.623000000000001</v>
      </c>
      <c r="J165">
        <v>39.031999999999996</v>
      </c>
      <c r="K165">
        <v>27.001999999999999</v>
      </c>
      <c r="L165" t="s">
        <v>18</v>
      </c>
      <c r="N165">
        <v>34.155000000000001</v>
      </c>
      <c r="O165" t="str">
        <f t="shared" si="3"/>
        <v>OK</v>
      </c>
    </row>
    <row r="166" spans="1:15" x14ac:dyDescent="0.3">
      <c r="A166" t="s">
        <v>29</v>
      </c>
      <c r="B166" t="s">
        <v>30</v>
      </c>
      <c r="C166" t="s">
        <v>31</v>
      </c>
      <c r="D166">
        <v>4</v>
      </c>
      <c r="E166">
        <v>33</v>
      </c>
      <c r="F166" t="s">
        <v>17</v>
      </c>
      <c r="G166">
        <v>8</v>
      </c>
      <c r="H166">
        <v>94.81</v>
      </c>
      <c r="I166">
        <v>29.148</v>
      </c>
      <c r="J166">
        <v>38.606999999999999</v>
      </c>
      <c r="K166">
        <v>27.055</v>
      </c>
      <c r="L166" t="s">
        <v>18</v>
      </c>
      <c r="N166">
        <v>56.38</v>
      </c>
      <c r="O166" t="str">
        <f t="shared" si="3"/>
        <v>OK</v>
      </c>
    </row>
    <row r="167" spans="1:15" x14ac:dyDescent="0.3">
      <c r="A167" t="s">
        <v>14</v>
      </c>
      <c r="B167" t="s">
        <v>15</v>
      </c>
      <c r="C167" t="s">
        <v>16</v>
      </c>
      <c r="D167">
        <v>1</v>
      </c>
      <c r="E167">
        <v>34</v>
      </c>
      <c r="F167" t="s">
        <v>22</v>
      </c>
      <c r="G167">
        <v>16</v>
      </c>
      <c r="H167">
        <v>95.105999999999995</v>
      </c>
      <c r="I167">
        <v>29.327999999999999</v>
      </c>
      <c r="J167">
        <v>38.613999999999997</v>
      </c>
      <c r="K167">
        <v>27.163</v>
      </c>
      <c r="L167" t="s">
        <v>18</v>
      </c>
      <c r="N167">
        <v>0</v>
      </c>
      <c r="O167" t="str">
        <f t="shared" si="3"/>
        <v>OK</v>
      </c>
    </row>
    <row r="168" spans="1:15" x14ac:dyDescent="0.3">
      <c r="A168" t="s">
        <v>19</v>
      </c>
      <c r="B168" t="s">
        <v>20</v>
      </c>
      <c r="C168" t="s">
        <v>21</v>
      </c>
      <c r="D168">
        <v>44</v>
      </c>
      <c r="E168">
        <v>34</v>
      </c>
      <c r="F168" t="s">
        <v>33</v>
      </c>
      <c r="G168">
        <v>12</v>
      </c>
      <c r="H168">
        <v>96.173000000000002</v>
      </c>
      <c r="I168">
        <v>29.824000000000002</v>
      </c>
      <c r="J168">
        <v>39.453000000000003</v>
      </c>
      <c r="K168">
        <v>26.896000000000001</v>
      </c>
      <c r="L168" t="s">
        <v>18</v>
      </c>
      <c r="N168">
        <v>57.939</v>
      </c>
      <c r="O168" t="str">
        <f t="shared" si="3"/>
        <v>OK</v>
      </c>
    </row>
    <row r="169" spans="1:15" x14ac:dyDescent="0.3">
      <c r="A169" t="s">
        <v>23</v>
      </c>
      <c r="B169" t="s">
        <v>24</v>
      </c>
      <c r="C169" t="s">
        <v>25</v>
      </c>
      <c r="D169">
        <v>14</v>
      </c>
      <c r="E169">
        <v>34</v>
      </c>
      <c r="F169" t="s">
        <v>33</v>
      </c>
      <c r="G169">
        <v>18</v>
      </c>
      <c r="H169">
        <v>96.63</v>
      </c>
      <c r="I169">
        <v>29.794</v>
      </c>
      <c r="J169">
        <v>39.427999999999997</v>
      </c>
      <c r="K169">
        <v>27.408000000000001</v>
      </c>
      <c r="L169" t="s">
        <v>18</v>
      </c>
      <c r="N169">
        <v>47.308</v>
      </c>
      <c r="O169" t="str">
        <f t="shared" si="3"/>
        <v>OK</v>
      </c>
    </row>
    <row r="170" spans="1:15" x14ac:dyDescent="0.3">
      <c r="A170" t="s">
        <v>26</v>
      </c>
      <c r="B170" t="s">
        <v>27</v>
      </c>
      <c r="C170" t="s">
        <v>28</v>
      </c>
      <c r="D170">
        <v>16</v>
      </c>
      <c r="E170">
        <v>34</v>
      </c>
      <c r="F170" t="s">
        <v>22</v>
      </c>
      <c r="G170">
        <v>14</v>
      </c>
      <c r="H170">
        <v>95.602000000000004</v>
      </c>
      <c r="I170">
        <v>29.498000000000001</v>
      </c>
      <c r="J170">
        <v>39.058</v>
      </c>
      <c r="K170">
        <v>27.045999999999999</v>
      </c>
      <c r="L170" t="s">
        <v>18</v>
      </c>
      <c r="N170">
        <v>34.652000000000001</v>
      </c>
      <c r="O170" t="str">
        <f t="shared" si="3"/>
        <v>OK</v>
      </c>
    </row>
    <row r="171" spans="1:15" x14ac:dyDescent="0.3">
      <c r="A171" t="s">
        <v>29</v>
      </c>
      <c r="B171" t="s">
        <v>30</v>
      </c>
      <c r="C171" t="s">
        <v>31</v>
      </c>
      <c r="D171">
        <v>4</v>
      </c>
      <c r="E171">
        <v>34</v>
      </c>
      <c r="F171" t="s">
        <v>17</v>
      </c>
      <c r="G171">
        <v>9</v>
      </c>
      <c r="H171">
        <v>94.531999999999996</v>
      </c>
      <c r="I171">
        <v>29.178000000000001</v>
      </c>
      <c r="J171">
        <v>38.798999999999999</v>
      </c>
      <c r="K171">
        <v>26.555</v>
      </c>
      <c r="L171" t="s">
        <v>18</v>
      </c>
      <c r="N171">
        <v>55.805999999999997</v>
      </c>
      <c r="O171" t="str">
        <f t="shared" si="3"/>
        <v>OK</v>
      </c>
    </row>
    <row r="172" spans="1:15" x14ac:dyDescent="0.3">
      <c r="A172" t="s">
        <v>14</v>
      </c>
      <c r="B172" t="s">
        <v>15</v>
      </c>
      <c r="C172" t="s">
        <v>16</v>
      </c>
      <c r="D172">
        <v>1</v>
      </c>
      <c r="E172">
        <v>35</v>
      </c>
      <c r="F172" t="s">
        <v>22</v>
      </c>
      <c r="G172">
        <v>17</v>
      </c>
      <c r="H172">
        <v>95.087000000000003</v>
      </c>
      <c r="I172">
        <v>29.321999999999999</v>
      </c>
      <c r="J172">
        <v>38.531999999999996</v>
      </c>
      <c r="K172">
        <v>27.234000000000002</v>
      </c>
      <c r="L172" t="s">
        <v>18</v>
      </c>
      <c r="N172">
        <v>0</v>
      </c>
      <c r="O172" t="str">
        <f t="shared" si="3"/>
        <v>OK</v>
      </c>
    </row>
    <row r="173" spans="1:15" x14ac:dyDescent="0.3">
      <c r="A173" t="s">
        <v>19</v>
      </c>
      <c r="B173" t="s">
        <v>20</v>
      </c>
      <c r="C173" t="s">
        <v>21</v>
      </c>
      <c r="D173">
        <v>44</v>
      </c>
      <c r="E173">
        <v>35</v>
      </c>
      <c r="F173" t="s">
        <v>33</v>
      </c>
      <c r="G173">
        <v>13</v>
      </c>
      <c r="H173">
        <v>96.236000000000004</v>
      </c>
      <c r="I173">
        <v>29.614999999999998</v>
      </c>
      <c r="J173">
        <v>39.42</v>
      </c>
      <c r="K173">
        <v>27.2</v>
      </c>
      <c r="L173" t="s">
        <v>18</v>
      </c>
      <c r="N173">
        <v>59.087000000000003</v>
      </c>
      <c r="O173" t="str">
        <f t="shared" si="3"/>
        <v>OK</v>
      </c>
    </row>
    <row r="174" spans="1:15" x14ac:dyDescent="0.3">
      <c r="A174" t="s">
        <v>23</v>
      </c>
      <c r="B174" t="s">
        <v>24</v>
      </c>
      <c r="C174" t="s">
        <v>25</v>
      </c>
      <c r="D174">
        <v>14</v>
      </c>
      <c r="E174">
        <v>35</v>
      </c>
      <c r="F174" t="s">
        <v>33</v>
      </c>
      <c r="G174">
        <v>19</v>
      </c>
      <c r="H174">
        <v>96.536000000000001</v>
      </c>
      <c r="I174">
        <v>29.847000000000001</v>
      </c>
      <c r="J174">
        <v>39.264000000000003</v>
      </c>
      <c r="K174">
        <v>27.425000000000001</v>
      </c>
      <c r="L174" t="s">
        <v>18</v>
      </c>
      <c r="N174">
        <v>48.756</v>
      </c>
      <c r="O174" t="str">
        <f t="shared" si="3"/>
        <v>OK</v>
      </c>
    </row>
    <row r="175" spans="1:15" x14ac:dyDescent="0.3">
      <c r="A175" t="s">
        <v>26</v>
      </c>
      <c r="B175" t="s">
        <v>27</v>
      </c>
      <c r="C175" t="s">
        <v>28</v>
      </c>
      <c r="D175">
        <v>16</v>
      </c>
      <c r="E175">
        <v>35</v>
      </c>
      <c r="F175" t="s">
        <v>22</v>
      </c>
      <c r="G175">
        <v>15</v>
      </c>
      <c r="H175">
        <v>95.77</v>
      </c>
      <c r="I175">
        <v>29.507000000000001</v>
      </c>
      <c r="J175">
        <v>38.94</v>
      </c>
      <c r="K175">
        <v>27.323</v>
      </c>
      <c r="L175" t="s">
        <v>18</v>
      </c>
      <c r="N175">
        <v>35.334000000000003</v>
      </c>
      <c r="O175" t="str">
        <f t="shared" si="3"/>
        <v>OK</v>
      </c>
    </row>
    <row r="176" spans="1:15" x14ac:dyDescent="0.3">
      <c r="A176" t="s">
        <v>29</v>
      </c>
      <c r="B176" t="s">
        <v>30</v>
      </c>
      <c r="C176" t="s">
        <v>31</v>
      </c>
      <c r="D176">
        <v>4</v>
      </c>
      <c r="E176">
        <v>35</v>
      </c>
      <c r="F176" t="s">
        <v>17</v>
      </c>
      <c r="G176">
        <v>10</v>
      </c>
      <c r="H176">
        <v>94.873000000000005</v>
      </c>
      <c r="I176">
        <v>29.123999999999999</v>
      </c>
      <c r="J176">
        <v>38.555999999999997</v>
      </c>
      <c r="K176">
        <v>27.193000000000001</v>
      </c>
      <c r="L176" t="s">
        <v>18</v>
      </c>
      <c r="N176">
        <v>55.591999999999999</v>
      </c>
      <c r="O176" t="str">
        <f t="shared" si="3"/>
        <v>OK</v>
      </c>
    </row>
    <row r="177" spans="1:15" x14ac:dyDescent="0.3">
      <c r="A177" t="s">
        <v>14</v>
      </c>
      <c r="B177" t="s">
        <v>15</v>
      </c>
      <c r="C177" t="s">
        <v>16</v>
      </c>
      <c r="D177">
        <v>1</v>
      </c>
      <c r="E177">
        <v>36</v>
      </c>
      <c r="F177" t="s">
        <v>22</v>
      </c>
      <c r="G177">
        <v>18</v>
      </c>
      <c r="H177">
        <v>94.846999999999994</v>
      </c>
      <c r="I177">
        <v>29.149000000000001</v>
      </c>
      <c r="J177">
        <v>38.695999999999998</v>
      </c>
      <c r="K177">
        <v>27.001000000000001</v>
      </c>
      <c r="L177" t="s">
        <v>18</v>
      </c>
      <c r="N177">
        <v>0</v>
      </c>
      <c r="O177" t="str">
        <f t="shared" si="3"/>
        <v>OK</v>
      </c>
    </row>
    <row r="178" spans="1:15" x14ac:dyDescent="0.3">
      <c r="A178" t="s">
        <v>19</v>
      </c>
      <c r="B178" t="s">
        <v>20</v>
      </c>
      <c r="C178" t="s">
        <v>21</v>
      </c>
      <c r="D178">
        <v>44</v>
      </c>
      <c r="E178">
        <v>36</v>
      </c>
      <c r="F178" t="s">
        <v>33</v>
      </c>
      <c r="G178">
        <v>14</v>
      </c>
      <c r="H178">
        <v>96.427000000000007</v>
      </c>
      <c r="I178">
        <v>29.739000000000001</v>
      </c>
      <c r="J178">
        <v>39.347999999999999</v>
      </c>
      <c r="K178">
        <v>27.34</v>
      </c>
      <c r="L178" t="s">
        <v>18</v>
      </c>
      <c r="N178">
        <v>60.667999999999999</v>
      </c>
      <c r="O178" t="str">
        <f t="shared" si="3"/>
        <v>OK</v>
      </c>
    </row>
    <row r="179" spans="1:15" x14ac:dyDescent="0.3">
      <c r="A179" t="s">
        <v>23</v>
      </c>
      <c r="B179" t="s">
        <v>24</v>
      </c>
      <c r="C179" t="s">
        <v>25</v>
      </c>
      <c r="D179">
        <v>14</v>
      </c>
      <c r="E179">
        <v>36</v>
      </c>
      <c r="F179" t="s">
        <v>33</v>
      </c>
      <c r="G179">
        <v>20</v>
      </c>
      <c r="H179">
        <v>96.704999999999998</v>
      </c>
      <c r="I179">
        <v>29.651</v>
      </c>
      <c r="J179">
        <v>39.360999999999997</v>
      </c>
      <c r="K179">
        <v>27.693999999999999</v>
      </c>
      <c r="L179" t="s">
        <v>18</v>
      </c>
      <c r="N179">
        <v>50.615000000000002</v>
      </c>
      <c r="O179" t="str">
        <f t="shared" si="3"/>
        <v>OK</v>
      </c>
    </row>
    <row r="180" spans="1:15" x14ac:dyDescent="0.3">
      <c r="A180" t="s">
        <v>26</v>
      </c>
      <c r="B180" t="s">
        <v>27</v>
      </c>
      <c r="C180" t="s">
        <v>28</v>
      </c>
      <c r="D180">
        <v>16</v>
      </c>
      <c r="E180">
        <v>36</v>
      </c>
      <c r="F180" t="s">
        <v>22</v>
      </c>
      <c r="G180">
        <v>16</v>
      </c>
      <c r="H180">
        <v>95.834999999999994</v>
      </c>
      <c r="I180">
        <v>29.518999999999998</v>
      </c>
      <c r="J180">
        <v>38.921999999999997</v>
      </c>
      <c r="K180">
        <v>27.393999999999998</v>
      </c>
      <c r="L180" t="s">
        <v>18</v>
      </c>
      <c r="N180">
        <v>36.322000000000003</v>
      </c>
      <c r="O180" t="str">
        <f t="shared" si="3"/>
        <v>OK</v>
      </c>
    </row>
    <row r="181" spans="1:15" x14ac:dyDescent="0.3">
      <c r="A181" t="s">
        <v>29</v>
      </c>
      <c r="B181" t="s">
        <v>30</v>
      </c>
      <c r="C181" t="s">
        <v>31</v>
      </c>
      <c r="D181">
        <v>4</v>
      </c>
      <c r="E181">
        <v>36</v>
      </c>
      <c r="F181" t="s">
        <v>17</v>
      </c>
      <c r="G181">
        <v>11</v>
      </c>
      <c r="H181">
        <v>95.108000000000004</v>
      </c>
      <c r="I181">
        <v>29.186</v>
      </c>
      <c r="J181">
        <v>38.601999999999997</v>
      </c>
      <c r="K181">
        <v>27.321000000000002</v>
      </c>
      <c r="L181" t="s">
        <v>18</v>
      </c>
      <c r="N181">
        <v>55.853999999999999</v>
      </c>
      <c r="O181" t="str">
        <f t="shared" si="3"/>
        <v>OK</v>
      </c>
    </row>
    <row r="182" spans="1:15" x14ac:dyDescent="0.3">
      <c r="A182" t="s">
        <v>14</v>
      </c>
      <c r="B182" t="s">
        <v>15</v>
      </c>
      <c r="C182" t="s">
        <v>16</v>
      </c>
      <c r="D182">
        <v>1</v>
      </c>
      <c r="E182">
        <v>37</v>
      </c>
      <c r="F182" t="s">
        <v>22</v>
      </c>
      <c r="G182">
        <v>19</v>
      </c>
      <c r="H182">
        <v>94.861999999999995</v>
      </c>
      <c r="I182">
        <v>29.122</v>
      </c>
      <c r="J182">
        <v>38.662999999999997</v>
      </c>
      <c r="K182">
        <v>27.077000000000002</v>
      </c>
      <c r="L182" t="s">
        <v>18</v>
      </c>
      <c r="N182">
        <v>0</v>
      </c>
      <c r="O182" t="str">
        <f t="shared" si="3"/>
        <v>OK</v>
      </c>
    </row>
    <row r="183" spans="1:15" x14ac:dyDescent="0.3">
      <c r="A183" t="s">
        <v>19</v>
      </c>
      <c r="B183" t="s">
        <v>20</v>
      </c>
      <c r="C183" t="s">
        <v>21</v>
      </c>
      <c r="D183">
        <v>44</v>
      </c>
      <c r="E183">
        <v>37</v>
      </c>
      <c r="F183" t="s">
        <v>33</v>
      </c>
      <c r="G183">
        <v>15</v>
      </c>
      <c r="H183">
        <v>96.388999999999996</v>
      </c>
      <c r="I183">
        <v>29.681000000000001</v>
      </c>
      <c r="J183">
        <v>39.401000000000003</v>
      </c>
      <c r="K183">
        <v>27.306999999999999</v>
      </c>
      <c r="L183" t="s">
        <v>18</v>
      </c>
      <c r="N183">
        <v>62.195</v>
      </c>
      <c r="O183" t="str">
        <f t="shared" si="3"/>
        <v>OK</v>
      </c>
    </row>
    <row r="184" spans="1:15" x14ac:dyDescent="0.3">
      <c r="A184" t="s">
        <v>23</v>
      </c>
      <c r="B184" t="s">
        <v>24</v>
      </c>
      <c r="C184" t="s">
        <v>25</v>
      </c>
      <c r="D184">
        <v>14</v>
      </c>
      <c r="E184">
        <v>37</v>
      </c>
      <c r="F184" t="s">
        <v>33</v>
      </c>
      <c r="G184">
        <v>21</v>
      </c>
      <c r="H184">
        <v>96.772999999999996</v>
      </c>
      <c r="I184">
        <v>29.777999999999999</v>
      </c>
      <c r="J184">
        <v>39.317999999999998</v>
      </c>
      <c r="K184">
        <v>27.675999999999998</v>
      </c>
      <c r="L184" t="s">
        <v>18</v>
      </c>
      <c r="N184">
        <v>52.526000000000003</v>
      </c>
      <c r="O184" t="str">
        <f t="shared" si="3"/>
        <v>OK</v>
      </c>
    </row>
    <row r="185" spans="1:15" x14ac:dyDescent="0.3">
      <c r="A185" t="s">
        <v>26</v>
      </c>
      <c r="B185" t="s">
        <v>27</v>
      </c>
      <c r="C185" t="s">
        <v>28</v>
      </c>
      <c r="D185">
        <v>16</v>
      </c>
      <c r="E185">
        <v>37</v>
      </c>
      <c r="F185" t="s">
        <v>22</v>
      </c>
      <c r="G185">
        <v>17</v>
      </c>
      <c r="H185">
        <v>96.001000000000005</v>
      </c>
      <c r="I185">
        <v>29.488</v>
      </c>
      <c r="J185">
        <v>38.932000000000002</v>
      </c>
      <c r="K185">
        <v>27.581</v>
      </c>
      <c r="L185" t="s">
        <v>18</v>
      </c>
      <c r="N185">
        <v>37.46</v>
      </c>
      <c r="O185" t="str">
        <f t="shared" si="3"/>
        <v>OK</v>
      </c>
    </row>
    <row r="186" spans="1:15" x14ac:dyDescent="0.3">
      <c r="A186" t="s">
        <v>29</v>
      </c>
      <c r="B186" t="s">
        <v>30</v>
      </c>
      <c r="C186" t="s">
        <v>31</v>
      </c>
      <c r="D186">
        <v>4</v>
      </c>
      <c r="E186">
        <v>37</v>
      </c>
      <c r="F186" t="s">
        <v>17</v>
      </c>
      <c r="G186">
        <v>12</v>
      </c>
      <c r="H186">
        <v>94.858999999999995</v>
      </c>
      <c r="I186">
        <v>29.125</v>
      </c>
      <c r="J186">
        <v>38.531999999999996</v>
      </c>
      <c r="K186">
        <v>27.202000000000002</v>
      </c>
      <c r="L186" t="s">
        <v>18</v>
      </c>
      <c r="N186">
        <v>55.85</v>
      </c>
      <c r="O186" t="str">
        <f t="shared" si="3"/>
        <v>OK</v>
      </c>
    </row>
    <row r="187" spans="1:15" x14ac:dyDescent="0.3">
      <c r="A187" t="s">
        <v>14</v>
      </c>
      <c r="B187" t="s">
        <v>15</v>
      </c>
      <c r="C187" t="s">
        <v>16</v>
      </c>
      <c r="D187">
        <v>1</v>
      </c>
      <c r="E187">
        <v>38</v>
      </c>
      <c r="F187" t="s">
        <v>22</v>
      </c>
      <c r="G187">
        <v>20</v>
      </c>
      <c r="H187">
        <v>95.391000000000005</v>
      </c>
      <c r="I187">
        <v>29.292000000000002</v>
      </c>
      <c r="J187">
        <v>38.567999999999998</v>
      </c>
      <c r="K187">
        <v>27.53</v>
      </c>
      <c r="L187" t="s">
        <v>18</v>
      </c>
      <c r="N187">
        <v>0</v>
      </c>
      <c r="O187" t="str">
        <f t="shared" si="3"/>
        <v>OK</v>
      </c>
    </row>
    <row r="188" spans="1:15" x14ac:dyDescent="0.3">
      <c r="A188" t="s">
        <v>19</v>
      </c>
      <c r="B188" t="s">
        <v>20</v>
      </c>
      <c r="C188" t="s">
        <v>21</v>
      </c>
      <c r="D188">
        <v>44</v>
      </c>
      <c r="E188">
        <v>38</v>
      </c>
      <c r="F188" t="s">
        <v>33</v>
      </c>
      <c r="G188">
        <v>16</v>
      </c>
      <c r="H188">
        <v>96.415000000000006</v>
      </c>
      <c r="I188">
        <v>29.64</v>
      </c>
      <c r="J188">
        <v>39.430999999999997</v>
      </c>
      <c r="K188">
        <v>27.344000000000001</v>
      </c>
      <c r="L188" t="s">
        <v>18</v>
      </c>
      <c r="N188">
        <v>63.219000000000001</v>
      </c>
      <c r="O188" t="str">
        <f t="shared" si="3"/>
        <v>OK</v>
      </c>
    </row>
    <row r="189" spans="1:15" x14ac:dyDescent="0.3">
      <c r="A189" t="s">
        <v>23</v>
      </c>
      <c r="B189" t="s">
        <v>24</v>
      </c>
      <c r="C189" t="s">
        <v>25</v>
      </c>
      <c r="D189">
        <v>14</v>
      </c>
      <c r="E189">
        <v>38</v>
      </c>
      <c r="F189" t="s">
        <v>33</v>
      </c>
      <c r="G189">
        <v>22</v>
      </c>
      <c r="H189">
        <v>96.682000000000002</v>
      </c>
      <c r="I189">
        <v>29.861999999999998</v>
      </c>
      <c r="J189">
        <v>39.277999999999999</v>
      </c>
      <c r="K189">
        <v>27.541</v>
      </c>
      <c r="L189" t="s">
        <v>18</v>
      </c>
      <c r="N189">
        <v>53.816000000000003</v>
      </c>
      <c r="O189" t="str">
        <f t="shared" si="3"/>
        <v>OK</v>
      </c>
    </row>
    <row r="190" spans="1:15" x14ac:dyDescent="0.3">
      <c r="A190" t="s">
        <v>26</v>
      </c>
      <c r="B190" t="s">
        <v>27</v>
      </c>
      <c r="C190" t="s">
        <v>28</v>
      </c>
      <c r="D190">
        <v>16</v>
      </c>
      <c r="E190">
        <v>38</v>
      </c>
      <c r="F190" t="s">
        <v>22</v>
      </c>
      <c r="G190">
        <v>18</v>
      </c>
      <c r="H190">
        <v>117.303</v>
      </c>
      <c r="I190">
        <v>29.361999999999998</v>
      </c>
      <c r="J190">
        <v>38.908000000000001</v>
      </c>
      <c r="K190">
        <v>49.033000000000001</v>
      </c>
      <c r="L190" t="s">
        <v>32</v>
      </c>
      <c r="M190">
        <v>2.6</v>
      </c>
      <c r="N190">
        <v>59.372999999999998</v>
      </c>
      <c r="O190" t="str">
        <f t="shared" si="3"/>
        <v>OK</v>
      </c>
    </row>
    <row r="191" spans="1:15" x14ac:dyDescent="0.3">
      <c r="A191" t="s">
        <v>29</v>
      </c>
      <c r="B191" t="s">
        <v>30</v>
      </c>
      <c r="C191" t="s">
        <v>31</v>
      </c>
      <c r="D191">
        <v>4</v>
      </c>
      <c r="E191">
        <v>38</v>
      </c>
      <c r="F191" t="s">
        <v>17</v>
      </c>
      <c r="G191">
        <v>13</v>
      </c>
      <c r="H191">
        <v>95.384</v>
      </c>
      <c r="I191">
        <v>29.266999999999999</v>
      </c>
      <c r="J191">
        <v>38.676000000000002</v>
      </c>
      <c r="K191">
        <v>27.440999999999999</v>
      </c>
      <c r="L191" t="s">
        <v>18</v>
      </c>
      <c r="N191">
        <v>55.843000000000004</v>
      </c>
      <c r="O191" t="str">
        <f t="shared" si="3"/>
        <v>OK</v>
      </c>
    </row>
    <row r="192" spans="1:15" x14ac:dyDescent="0.3">
      <c r="A192" t="s">
        <v>14</v>
      </c>
      <c r="B192" t="s">
        <v>15</v>
      </c>
      <c r="C192" t="s">
        <v>16</v>
      </c>
      <c r="D192">
        <v>1</v>
      </c>
      <c r="E192">
        <v>39</v>
      </c>
      <c r="F192" t="s">
        <v>22</v>
      </c>
      <c r="G192">
        <v>21</v>
      </c>
      <c r="H192">
        <v>95.272999999999996</v>
      </c>
      <c r="I192">
        <v>29.321000000000002</v>
      </c>
      <c r="J192">
        <v>38.484000000000002</v>
      </c>
      <c r="K192">
        <v>27.469000000000001</v>
      </c>
      <c r="L192" t="s">
        <v>18</v>
      </c>
      <c r="N192">
        <v>0</v>
      </c>
      <c r="O192" t="str">
        <f t="shared" si="3"/>
        <v>OK</v>
      </c>
    </row>
    <row r="193" spans="1:15" x14ac:dyDescent="0.3">
      <c r="A193" t="s">
        <v>19</v>
      </c>
      <c r="B193" t="s">
        <v>20</v>
      </c>
      <c r="C193" t="s">
        <v>21</v>
      </c>
      <c r="D193">
        <v>44</v>
      </c>
      <c r="E193">
        <v>39</v>
      </c>
      <c r="F193" t="s">
        <v>33</v>
      </c>
      <c r="G193">
        <v>17</v>
      </c>
      <c r="H193">
        <v>96.626999999999995</v>
      </c>
      <c r="I193">
        <v>29.702000000000002</v>
      </c>
      <c r="J193">
        <v>39.473999999999997</v>
      </c>
      <c r="K193">
        <v>27.452000000000002</v>
      </c>
      <c r="L193" t="s">
        <v>18</v>
      </c>
      <c r="N193">
        <v>64.572999999999993</v>
      </c>
      <c r="O193" t="str">
        <f t="shared" si="3"/>
        <v>OK</v>
      </c>
    </row>
    <row r="194" spans="1:15" x14ac:dyDescent="0.3">
      <c r="A194" t="s">
        <v>23</v>
      </c>
      <c r="B194" t="s">
        <v>24</v>
      </c>
      <c r="C194" t="s">
        <v>25</v>
      </c>
      <c r="D194">
        <v>14</v>
      </c>
      <c r="E194">
        <v>39</v>
      </c>
      <c r="F194" t="s">
        <v>33</v>
      </c>
      <c r="G194">
        <v>23</v>
      </c>
      <c r="H194">
        <v>97.043000000000006</v>
      </c>
      <c r="I194">
        <v>29.7</v>
      </c>
      <c r="J194">
        <v>39.408000000000001</v>
      </c>
      <c r="K194">
        <v>27.934999999999999</v>
      </c>
      <c r="L194" t="s">
        <v>18</v>
      </c>
      <c r="N194">
        <v>55.587000000000003</v>
      </c>
      <c r="O194" t="str">
        <f t="shared" ref="O194:O257" si="4">IF(ABS((I194+J194+K194)-H194)&lt;0.01, "OK", "MISMATCH" )</f>
        <v>OK</v>
      </c>
    </row>
    <row r="195" spans="1:15" x14ac:dyDescent="0.3">
      <c r="A195" t="s">
        <v>26</v>
      </c>
      <c r="B195" t="s">
        <v>27</v>
      </c>
      <c r="C195" t="s">
        <v>28</v>
      </c>
      <c r="D195">
        <v>16</v>
      </c>
      <c r="E195">
        <v>39</v>
      </c>
      <c r="F195" t="s">
        <v>33</v>
      </c>
      <c r="G195">
        <v>1</v>
      </c>
      <c r="H195">
        <v>96.253</v>
      </c>
      <c r="I195">
        <v>29.817</v>
      </c>
      <c r="J195">
        <v>39.387999999999998</v>
      </c>
      <c r="K195">
        <v>27.047999999999998</v>
      </c>
      <c r="L195" t="s">
        <v>18</v>
      </c>
      <c r="N195">
        <v>60.351999999999997</v>
      </c>
      <c r="O195" t="str">
        <f t="shared" si="4"/>
        <v>OK</v>
      </c>
    </row>
    <row r="196" spans="1:15" x14ac:dyDescent="0.3">
      <c r="A196" t="s">
        <v>29</v>
      </c>
      <c r="B196" t="s">
        <v>30</v>
      </c>
      <c r="C196" t="s">
        <v>31</v>
      </c>
      <c r="D196">
        <v>4</v>
      </c>
      <c r="E196">
        <v>39</v>
      </c>
      <c r="F196" t="s">
        <v>17</v>
      </c>
      <c r="G196">
        <v>14</v>
      </c>
      <c r="H196">
        <v>95.35</v>
      </c>
      <c r="I196">
        <v>29.355</v>
      </c>
      <c r="J196">
        <v>38.65</v>
      </c>
      <c r="K196">
        <v>27.346</v>
      </c>
      <c r="L196" t="s">
        <v>18</v>
      </c>
      <c r="N196">
        <v>55.92</v>
      </c>
      <c r="O196" t="str">
        <f t="shared" si="4"/>
        <v>OK</v>
      </c>
    </row>
    <row r="197" spans="1:15" x14ac:dyDescent="0.3">
      <c r="A197" t="s">
        <v>14</v>
      </c>
      <c r="B197" t="s">
        <v>15</v>
      </c>
      <c r="C197" t="s">
        <v>16</v>
      </c>
      <c r="D197">
        <v>1</v>
      </c>
      <c r="E197">
        <v>40</v>
      </c>
      <c r="F197" t="s">
        <v>22</v>
      </c>
      <c r="G197">
        <v>22</v>
      </c>
      <c r="H197">
        <v>116.181</v>
      </c>
      <c r="I197">
        <v>29.257000000000001</v>
      </c>
      <c r="J197">
        <v>38.603000000000002</v>
      </c>
      <c r="K197">
        <v>48.320999999999998</v>
      </c>
      <c r="L197" t="s">
        <v>32</v>
      </c>
      <c r="M197">
        <v>2.8</v>
      </c>
      <c r="N197">
        <v>0</v>
      </c>
      <c r="O197" t="str">
        <f t="shared" si="4"/>
        <v>OK</v>
      </c>
    </row>
    <row r="198" spans="1:15" x14ac:dyDescent="0.3">
      <c r="A198" t="s">
        <v>19</v>
      </c>
      <c r="B198" t="s">
        <v>20</v>
      </c>
      <c r="C198" t="s">
        <v>21</v>
      </c>
      <c r="D198">
        <v>44</v>
      </c>
      <c r="E198">
        <v>40</v>
      </c>
      <c r="F198" t="s">
        <v>33</v>
      </c>
      <c r="G198">
        <v>18</v>
      </c>
      <c r="H198">
        <v>96.361999999999995</v>
      </c>
      <c r="I198">
        <v>29.673999999999999</v>
      </c>
      <c r="J198">
        <v>39.359000000000002</v>
      </c>
      <c r="K198">
        <v>27.329000000000001</v>
      </c>
      <c r="L198" t="s">
        <v>18</v>
      </c>
      <c r="N198">
        <v>44.753999999999998</v>
      </c>
      <c r="O198" t="str">
        <f t="shared" si="4"/>
        <v>OK</v>
      </c>
    </row>
    <row r="199" spans="1:15" x14ac:dyDescent="0.3">
      <c r="A199" t="s">
        <v>23</v>
      </c>
      <c r="B199" t="s">
        <v>24</v>
      </c>
      <c r="C199" t="s">
        <v>25</v>
      </c>
      <c r="D199">
        <v>14</v>
      </c>
      <c r="E199">
        <v>40</v>
      </c>
      <c r="F199" t="s">
        <v>33</v>
      </c>
      <c r="G199">
        <v>24</v>
      </c>
      <c r="H199">
        <v>96.513999999999996</v>
      </c>
      <c r="I199">
        <v>29.765999999999998</v>
      </c>
      <c r="J199">
        <v>39.387999999999998</v>
      </c>
      <c r="K199">
        <v>27.36</v>
      </c>
      <c r="L199" t="s">
        <v>18</v>
      </c>
      <c r="N199">
        <v>35.92</v>
      </c>
      <c r="O199" t="str">
        <f t="shared" si="4"/>
        <v>OK</v>
      </c>
    </row>
    <row r="200" spans="1:15" x14ac:dyDescent="0.3">
      <c r="A200" t="s">
        <v>26</v>
      </c>
      <c r="B200" t="s">
        <v>27</v>
      </c>
      <c r="C200" t="s">
        <v>28</v>
      </c>
      <c r="D200">
        <v>16</v>
      </c>
      <c r="E200">
        <v>40</v>
      </c>
      <c r="F200" t="s">
        <v>33</v>
      </c>
      <c r="G200">
        <v>2</v>
      </c>
      <c r="H200">
        <v>95.894000000000005</v>
      </c>
      <c r="I200">
        <v>29.687000000000001</v>
      </c>
      <c r="J200">
        <v>39.414999999999999</v>
      </c>
      <c r="K200">
        <v>26.792000000000002</v>
      </c>
      <c r="L200" t="s">
        <v>18</v>
      </c>
      <c r="N200">
        <v>40.064999999999998</v>
      </c>
      <c r="O200" t="str">
        <f t="shared" si="4"/>
        <v>OK</v>
      </c>
    </row>
    <row r="201" spans="1:15" x14ac:dyDescent="0.3">
      <c r="A201" t="s">
        <v>29</v>
      </c>
      <c r="B201" t="s">
        <v>30</v>
      </c>
      <c r="C201" t="s">
        <v>31</v>
      </c>
      <c r="D201">
        <v>4</v>
      </c>
      <c r="E201">
        <v>40</v>
      </c>
      <c r="F201" t="s">
        <v>17</v>
      </c>
      <c r="G201">
        <v>15</v>
      </c>
      <c r="H201">
        <v>115.202</v>
      </c>
      <c r="I201">
        <v>29.265000000000001</v>
      </c>
      <c r="J201">
        <v>38.707000000000001</v>
      </c>
      <c r="K201">
        <v>47.23</v>
      </c>
      <c r="L201" t="s">
        <v>32</v>
      </c>
      <c r="M201">
        <v>3.1</v>
      </c>
      <c r="N201">
        <v>54.941000000000003</v>
      </c>
      <c r="O201" t="str">
        <f t="shared" si="4"/>
        <v>OK</v>
      </c>
    </row>
    <row r="202" spans="1:15" x14ac:dyDescent="0.3">
      <c r="A202" t="s">
        <v>14</v>
      </c>
      <c r="B202" t="s">
        <v>15</v>
      </c>
      <c r="C202" t="s">
        <v>16</v>
      </c>
      <c r="D202">
        <v>1</v>
      </c>
      <c r="E202">
        <v>41</v>
      </c>
      <c r="F202" t="s">
        <v>33</v>
      </c>
      <c r="G202">
        <v>1</v>
      </c>
      <c r="H202">
        <v>94.933999999999997</v>
      </c>
      <c r="I202">
        <v>29.388000000000002</v>
      </c>
      <c r="J202">
        <v>38.868000000000002</v>
      </c>
      <c r="K202">
        <v>26.677</v>
      </c>
      <c r="L202" t="s">
        <v>18</v>
      </c>
      <c r="N202">
        <v>0</v>
      </c>
      <c r="O202" t="str">
        <f t="shared" si="4"/>
        <v>OK</v>
      </c>
    </row>
    <row r="203" spans="1:15" x14ac:dyDescent="0.3">
      <c r="A203" t="s">
        <v>19</v>
      </c>
      <c r="B203" t="s">
        <v>20</v>
      </c>
      <c r="C203" t="s">
        <v>21</v>
      </c>
      <c r="D203">
        <v>44</v>
      </c>
      <c r="E203">
        <v>41</v>
      </c>
      <c r="F203" t="s">
        <v>33</v>
      </c>
      <c r="G203">
        <v>19</v>
      </c>
      <c r="H203">
        <v>96.450999999999993</v>
      </c>
      <c r="I203">
        <v>29.683</v>
      </c>
      <c r="J203">
        <v>39.271999999999998</v>
      </c>
      <c r="K203">
        <v>27.495999999999999</v>
      </c>
      <c r="L203" t="s">
        <v>18</v>
      </c>
      <c r="N203">
        <v>46.27</v>
      </c>
      <c r="O203" t="str">
        <f t="shared" si="4"/>
        <v>OK</v>
      </c>
    </row>
    <row r="204" spans="1:15" x14ac:dyDescent="0.3">
      <c r="A204" t="s">
        <v>23</v>
      </c>
      <c r="B204" t="s">
        <v>24</v>
      </c>
      <c r="C204" t="s">
        <v>25</v>
      </c>
      <c r="D204">
        <v>14</v>
      </c>
      <c r="E204">
        <v>41</v>
      </c>
      <c r="F204" t="s">
        <v>33</v>
      </c>
      <c r="G204">
        <v>25</v>
      </c>
      <c r="H204">
        <v>96.712000000000003</v>
      </c>
      <c r="I204">
        <v>29.637</v>
      </c>
      <c r="J204">
        <v>39.484999999999999</v>
      </c>
      <c r="K204">
        <v>27.588999999999999</v>
      </c>
      <c r="L204" t="s">
        <v>18</v>
      </c>
      <c r="N204">
        <v>37.698</v>
      </c>
      <c r="O204" t="str">
        <f t="shared" si="4"/>
        <v>OK</v>
      </c>
    </row>
    <row r="205" spans="1:15" x14ac:dyDescent="0.3">
      <c r="A205" t="s">
        <v>26</v>
      </c>
      <c r="B205" t="s">
        <v>27</v>
      </c>
      <c r="C205" t="s">
        <v>28</v>
      </c>
      <c r="D205">
        <v>16</v>
      </c>
      <c r="E205">
        <v>41</v>
      </c>
      <c r="F205" t="s">
        <v>33</v>
      </c>
      <c r="G205">
        <v>3</v>
      </c>
      <c r="H205">
        <v>96.445999999999998</v>
      </c>
      <c r="I205">
        <v>29.777000000000001</v>
      </c>
      <c r="J205">
        <v>39.344000000000001</v>
      </c>
      <c r="K205">
        <v>27.326000000000001</v>
      </c>
      <c r="L205" t="s">
        <v>18</v>
      </c>
      <c r="N205">
        <v>41.578000000000003</v>
      </c>
      <c r="O205" t="str">
        <f t="shared" si="4"/>
        <v>OK</v>
      </c>
    </row>
    <row r="206" spans="1:15" x14ac:dyDescent="0.3">
      <c r="A206" t="s">
        <v>29</v>
      </c>
      <c r="B206" t="s">
        <v>30</v>
      </c>
      <c r="C206" t="s">
        <v>31</v>
      </c>
      <c r="D206">
        <v>4</v>
      </c>
      <c r="E206">
        <v>41</v>
      </c>
      <c r="F206" t="s">
        <v>33</v>
      </c>
      <c r="G206">
        <v>1</v>
      </c>
      <c r="H206">
        <v>96.563999999999993</v>
      </c>
      <c r="I206">
        <v>29.838999999999999</v>
      </c>
      <c r="J206">
        <v>39.448</v>
      </c>
      <c r="K206">
        <v>27.277000000000001</v>
      </c>
      <c r="L206" t="s">
        <v>18</v>
      </c>
      <c r="N206">
        <v>56.570999999999998</v>
      </c>
      <c r="O206" t="str">
        <f t="shared" si="4"/>
        <v>OK</v>
      </c>
    </row>
    <row r="207" spans="1:15" x14ac:dyDescent="0.3">
      <c r="A207" t="s">
        <v>14</v>
      </c>
      <c r="B207" t="s">
        <v>15</v>
      </c>
      <c r="C207" t="s">
        <v>16</v>
      </c>
      <c r="D207">
        <v>1</v>
      </c>
      <c r="E207">
        <v>42</v>
      </c>
      <c r="F207" t="s">
        <v>33</v>
      </c>
      <c r="G207">
        <v>2</v>
      </c>
      <c r="H207">
        <v>94.921000000000006</v>
      </c>
      <c r="I207">
        <v>29.509</v>
      </c>
      <c r="J207">
        <v>38.908999999999999</v>
      </c>
      <c r="K207">
        <v>26.503</v>
      </c>
      <c r="L207" t="s">
        <v>18</v>
      </c>
      <c r="N207">
        <v>0</v>
      </c>
      <c r="O207" t="str">
        <f t="shared" si="4"/>
        <v>OK</v>
      </c>
    </row>
    <row r="208" spans="1:15" x14ac:dyDescent="0.3">
      <c r="A208" t="s">
        <v>19</v>
      </c>
      <c r="B208" t="s">
        <v>20</v>
      </c>
      <c r="C208" t="s">
        <v>21</v>
      </c>
      <c r="D208">
        <v>44</v>
      </c>
      <c r="E208">
        <v>42</v>
      </c>
      <c r="F208" t="s">
        <v>33</v>
      </c>
      <c r="G208">
        <v>20</v>
      </c>
      <c r="H208">
        <v>96.346999999999994</v>
      </c>
      <c r="I208">
        <v>29.658000000000001</v>
      </c>
      <c r="J208">
        <v>39.204999999999998</v>
      </c>
      <c r="K208">
        <v>27.484000000000002</v>
      </c>
      <c r="L208" t="s">
        <v>18</v>
      </c>
      <c r="N208">
        <v>47.697000000000003</v>
      </c>
      <c r="O208" t="str">
        <f t="shared" si="4"/>
        <v>OK</v>
      </c>
    </row>
    <row r="209" spans="1:15" x14ac:dyDescent="0.3">
      <c r="A209" t="s">
        <v>23</v>
      </c>
      <c r="B209" t="s">
        <v>24</v>
      </c>
      <c r="C209" t="s">
        <v>25</v>
      </c>
      <c r="D209">
        <v>14</v>
      </c>
      <c r="E209">
        <v>42</v>
      </c>
      <c r="F209" t="s">
        <v>33</v>
      </c>
      <c r="G209">
        <v>26</v>
      </c>
      <c r="H209">
        <v>115.78400000000001</v>
      </c>
      <c r="I209">
        <v>29.608000000000001</v>
      </c>
      <c r="J209">
        <v>39.345999999999997</v>
      </c>
      <c r="K209">
        <v>46.83</v>
      </c>
      <c r="L209" t="s">
        <v>32</v>
      </c>
      <c r="M209">
        <v>3.4</v>
      </c>
      <c r="N209">
        <v>58.561</v>
      </c>
      <c r="O209" t="str">
        <f t="shared" si="4"/>
        <v>OK</v>
      </c>
    </row>
    <row r="210" spans="1:15" x14ac:dyDescent="0.3">
      <c r="A210" t="s">
        <v>26</v>
      </c>
      <c r="B210" t="s">
        <v>27</v>
      </c>
      <c r="C210" t="s">
        <v>28</v>
      </c>
      <c r="D210">
        <v>16</v>
      </c>
      <c r="E210">
        <v>42</v>
      </c>
      <c r="F210" t="s">
        <v>33</v>
      </c>
      <c r="G210">
        <v>4</v>
      </c>
      <c r="H210">
        <v>96.244</v>
      </c>
      <c r="I210">
        <v>29.751999999999999</v>
      </c>
      <c r="J210">
        <v>39.390999999999998</v>
      </c>
      <c r="K210">
        <v>27.100999999999999</v>
      </c>
      <c r="L210" t="s">
        <v>18</v>
      </c>
      <c r="N210">
        <v>42.902000000000001</v>
      </c>
      <c r="O210" t="str">
        <f t="shared" si="4"/>
        <v>OK</v>
      </c>
    </row>
    <row r="211" spans="1:15" x14ac:dyDescent="0.3">
      <c r="A211" t="s">
        <v>29</v>
      </c>
      <c r="B211" t="s">
        <v>30</v>
      </c>
      <c r="C211" t="s">
        <v>31</v>
      </c>
      <c r="D211">
        <v>4</v>
      </c>
      <c r="E211">
        <v>42</v>
      </c>
      <c r="F211" t="s">
        <v>33</v>
      </c>
      <c r="G211">
        <v>2</v>
      </c>
      <c r="H211">
        <v>96.442999999999998</v>
      </c>
      <c r="I211">
        <v>29.747</v>
      </c>
      <c r="J211">
        <v>39.628</v>
      </c>
      <c r="K211">
        <v>27.068000000000001</v>
      </c>
      <c r="L211" t="s">
        <v>18</v>
      </c>
      <c r="N211">
        <v>58.094000000000001</v>
      </c>
      <c r="O211" t="str">
        <f t="shared" si="4"/>
        <v>OK</v>
      </c>
    </row>
    <row r="212" spans="1:15" x14ac:dyDescent="0.3">
      <c r="A212" t="s">
        <v>14</v>
      </c>
      <c r="B212" t="s">
        <v>15</v>
      </c>
      <c r="C212" t="s">
        <v>16</v>
      </c>
      <c r="D212">
        <v>1</v>
      </c>
      <c r="E212">
        <v>43</v>
      </c>
      <c r="F212" t="s">
        <v>33</v>
      </c>
      <c r="G212">
        <v>3</v>
      </c>
      <c r="H212">
        <v>95.492999999999995</v>
      </c>
      <c r="I212">
        <v>29.489000000000001</v>
      </c>
      <c r="J212">
        <v>39.073</v>
      </c>
      <c r="K212">
        <v>26.93</v>
      </c>
      <c r="L212" t="s">
        <v>18</v>
      </c>
      <c r="N212">
        <v>0</v>
      </c>
      <c r="O212" t="str">
        <f t="shared" si="4"/>
        <v>OK</v>
      </c>
    </row>
    <row r="213" spans="1:15" x14ac:dyDescent="0.3">
      <c r="A213" t="s">
        <v>19</v>
      </c>
      <c r="B213" t="s">
        <v>20</v>
      </c>
      <c r="C213" t="s">
        <v>21</v>
      </c>
      <c r="D213">
        <v>44</v>
      </c>
      <c r="E213">
        <v>43</v>
      </c>
      <c r="F213" t="s">
        <v>33</v>
      </c>
      <c r="G213">
        <v>21</v>
      </c>
      <c r="H213">
        <v>96.653999999999996</v>
      </c>
      <c r="I213">
        <v>29.699000000000002</v>
      </c>
      <c r="J213">
        <v>39.383000000000003</v>
      </c>
      <c r="K213">
        <v>27.571999999999999</v>
      </c>
      <c r="L213" t="s">
        <v>18</v>
      </c>
      <c r="N213">
        <v>48.857999999999997</v>
      </c>
      <c r="O213" t="str">
        <f t="shared" si="4"/>
        <v>OK</v>
      </c>
    </row>
    <row r="214" spans="1:15" x14ac:dyDescent="0.3">
      <c r="A214" t="s">
        <v>23</v>
      </c>
      <c r="B214" t="s">
        <v>24</v>
      </c>
      <c r="C214" t="s">
        <v>25</v>
      </c>
      <c r="D214">
        <v>14</v>
      </c>
      <c r="E214">
        <v>43</v>
      </c>
      <c r="F214" t="s">
        <v>22</v>
      </c>
      <c r="G214">
        <v>1</v>
      </c>
      <c r="H214">
        <v>95.200999999999993</v>
      </c>
      <c r="I214">
        <v>29.359000000000002</v>
      </c>
      <c r="J214">
        <v>38.872999999999998</v>
      </c>
      <c r="K214">
        <v>26.969000000000001</v>
      </c>
      <c r="L214" t="s">
        <v>18</v>
      </c>
      <c r="N214">
        <v>58.268999999999998</v>
      </c>
      <c r="O214" t="str">
        <f t="shared" si="4"/>
        <v>OK</v>
      </c>
    </row>
    <row r="215" spans="1:15" x14ac:dyDescent="0.3">
      <c r="A215" t="s">
        <v>26</v>
      </c>
      <c r="B215" t="s">
        <v>27</v>
      </c>
      <c r="C215" t="s">
        <v>28</v>
      </c>
      <c r="D215">
        <v>16</v>
      </c>
      <c r="E215">
        <v>43</v>
      </c>
      <c r="F215" t="s">
        <v>33</v>
      </c>
      <c r="G215">
        <v>5</v>
      </c>
      <c r="H215">
        <v>96.445999999999998</v>
      </c>
      <c r="I215">
        <v>29.827999999999999</v>
      </c>
      <c r="J215">
        <v>39.283999999999999</v>
      </c>
      <c r="K215">
        <v>27.334</v>
      </c>
      <c r="L215" t="s">
        <v>18</v>
      </c>
      <c r="N215">
        <v>43.854999999999997</v>
      </c>
      <c r="O215" t="str">
        <f t="shared" si="4"/>
        <v>OK</v>
      </c>
    </row>
    <row r="216" spans="1:15" x14ac:dyDescent="0.3">
      <c r="A216" t="s">
        <v>29</v>
      </c>
      <c r="B216" t="s">
        <v>30</v>
      </c>
      <c r="C216" t="s">
        <v>31</v>
      </c>
      <c r="D216">
        <v>4</v>
      </c>
      <c r="E216">
        <v>43</v>
      </c>
      <c r="F216" t="s">
        <v>33</v>
      </c>
      <c r="G216">
        <v>3</v>
      </c>
      <c r="H216">
        <v>96.492999999999995</v>
      </c>
      <c r="I216">
        <v>30.018000000000001</v>
      </c>
      <c r="J216">
        <v>39.421999999999997</v>
      </c>
      <c r="K216">
        <v>27.053000000000001</v>
      </c>
      <c r="L216" t="s">
        <v>18</v>
      </c>
      <c r="N216">
        <v>59.094000000000001</v>
      </c>
      <c r="O216" t="str">
        <f t="shared" si="4"/>
        <v>OK</v>
      </c>
    </row>
    <row r="217" spans="1:15" x14ac:dyDescent="0.3">
      <c r="A217" t="s">
        <v>14</v>
      </c>
      <c r="B217" t="s">
        <v>15</v>
      </c>
      <c r="C217" t="s">
        <v>16</v>
      </c>
      <c r="D217">
        <v>1</v>
      </c>
      <c r="E217">
        <v>44</v>
      </c>
      <c r="F217" t="s">
        <v>33</v>
      </c>
      <c r="G217">
        <v>4</v>
      </c>
      <c r="H217">
        <v>95.5</v>
      </c>
      <c r="I217">
        <v>29.536999999999999</v>
      </c>
      <c r="J217">
        <v>38.866999999999997</v>
      </c>
      <c r="K217">
        <v>27.094999999999999</v>
      </c>
      <c r="L217" t="s">
        <v>18</v>
      </c>
      <c r="N217">
        <v>0</v>
      </c>
      <c r="O217" t="str">
        <f t="shared" si="4"/>
        <v>OK</v>
      </c>
    </row>
    <row r="218" spans="1:15" x14ac:dyDescent="0.3">
      <c r="A218" t="s">
        <v>19</v>
      </c>
      <c r="B218" t="s">
        <v>20</v>
      </c>
      <c r="C218" t="s">
        <v>21</v>
      </c>
      <c r="D218">
        <v>44</v>
      </c>
      <c r="E218">
        <v>44</v>
      </c>
      <c r="F218" t="s">
        <v>33</v>
      </c>
      <c r="G218">
        <v>22</v>
      </c>
      <c r="H218">
        <v>115.31100000000001</v>
      </c>
      <c r="I218">
        <v>29.622</v>
      </c>
      <c r="J218">
        <v>39.470999999999997</v>
      </c>
      <c r="K218">
        <v>46.218000000000004</v>
      </c>
      <c r="L218" t="s">
        <v>32</v>
      </c>
      <c r="M218">
        <v>2.9</v>
      </c>
      <c r="N218">
        <v>68.668999999999997</v>
      </c>
      <c r="O218" t="str">
        <f t="shared" si="4"/>
        <v>OK</v>
      </c>
    </row>
    <row r="219" spans="1:15" x14ac:dyDescent="0.3">
      <c r="A219" t="s">
        <v>23</v>
      </c>
      <c r="B219" t="s">
        <v>24</v>
      </c>
      <c r="C219" t="s">
        <v>25</v>
      </c>
      <c r="D219">
        <v>14</v>
      </c>
      <c r="E219">
        <v>44</v>
      </c>
      <c r="F219" t="s">
        <v>22</v>
      </c>
      <c r="G219">
        <v>2</v>
      </c>
      <c r="H219">
        <v>95.046999999999997</v>
      </c>
      <c r="I219">
        <v>29.396000000000001</v>
      </c>
      <c r="J219">
        <v>38.984000000000002</v>
      </c>
      <c r="K219">
        <v>26.666</v>
      </c>
      <c r="L219" t="s">
        <v>18</v>
      </c>
      <c r="N219">
        <v>57.816000000000003</v>
      </c>
      <c r="O219" t="str">
        <f t="shared" si="4"/>
        <v>OK</v>
      </c>
    </row>
    <row r="220" spans="1:15" x14ac:dyDescent="0.3">
      <c r="A220" t="s">
        <v>26</v>
      </c>
      <c r="B220" t="s">
        <v>27</v>
      </c>
      <c r="C220" t="s">
        <v>28</v>
      </c>
      <c r="D220">
        <v>16</v>
      </c>
      <c r="E220">
        <v>44</v>
      </c>
      <c r="F220" t="s">
        <v>33</v>
      </c>
      <c r="G220">
        <v>6</v>
      </c>
      <c r="H220">
        <v>96.450999999999993</v>
      </c>
      <c r="I220">
        <v>29.86</v>
      </c>
      <c r="J220">
        <v>39.454999999999998</v>
      </c>
      <c r="K220">
        <v>27.135999999999999</v>
      </c>
      <c r="L220" t="s">
        <v>18</v>
      </c>
      <c r="N220">
        <v>44.805999999999997</v>
      </c>
      <c r="O220" t="str">
        <f t="shared" si="4"/>
        <v>OK</v>
      </c>
    </row>
    <row r="221" spans="1:15" x14ac:dyDescent="0.3">
      <c r="A221" t="s">
        <v>29</v>
      </c>
      <c r="B221" t="s">
        <v>30</v>
      </c>
      <c r="C221" t="s">
        <v>31</v>
      </c>
      <c r="D221">
        <v>4</v>
      </c>
      <c r="E221">
        <v>44</v>
      </c>
      <c r="F221" t="s">
        <v>33</v>
      </c>
      <c r="G221">
        <v>4</v>
      </c>
      <c r="H221">
        <v>96.768000000000001</v>
      </c>
      <c r="I221">
        <v>29.838000000000001</v>
      </c>
      <c r="J221">
        <v>39.518000000000001</v>
      </c>
      <c r="K221">
        <v>27.411999999999999</v>
      </c>
      <c r="L221" t="s">
        <v>18</v>
      </c>
      <c r="N221">
        <v>60.363</v>
      </c>
      <c r="O221" t="str">
        <f t="shared" si="4"/>
        <v>OK</v>
      </c>
    </row>
    <row r="222" spans="1:15" x14ac:dyDescent="0.3">
      <c r="A222" t="s">
        <v>14</v>
      </c>
      <c r="B222" t="s">
        <v>15</v>
      </c>
      <c r="C222" t="s">
        <v>16</v>
      </c>
      <c r="D222">
        <v>1</v>
      </c>
      <c r="E222">
        <v>45</v>
      </c>
      <c r="F222" t="s">
        <v>33</v>
      </c>
      <c r="G222">
        <v>5</v>
      </c>
      <c r="H222">
        <v>95.436999999999998</v>
      </c>
      <c r="I222">
        <v>29.379000000000001</v>
      </c>
      <c r="J222">
        <v>39.101999999999997</v>
      </c>
      <c r="K222">
        <v>26.957000000000001</v>
      </c>
      <c r="L222" t="s">
        <v>18</v>
      </c>
      <c r="N222">
        <v>0</v>
      </c>
      <c r="O222" t="str">
        <f t="shared" si="4"/>
        <v>OK</v>
      </c>
    </row>
    <row r="223" spans="1:15" x14ac:dyDescent="0.3">
      <c r="A223" t="s">
        <v>19</v>
      </c>
      <c r="B223" t="s">
        <v>20</v>
      </c>
      <c r="C223" t="s">
        <v>21</v>
      </c>
      <c r="D223">
        <v>44</v>
      </c>
      <c r="E223">
        <v>45</v>
      </c>
      <c r="F223" t="s">
        <v>22</v>
      </c>
      <c r="G223">
        <v>1</v>
      </c>
      <c r="H223">
        <v>94.662000000000006</v>
      </c>
      <c r="I223">
        <v>29.542000000000002</v>
      </c>
      <c r="J223">
        <v>38.802999999999997</v>
      </c>
      <c r="K223">
        <v>26.317</v>
      </c>
      <c r="L223" t="s">
        <v>18</v>
      </c>
      <c r="N223">
        <v>67.894000000000005</v>
      </c>
      <c r="O223" t="str">
        <f t="shared" si="4"/>
        <v>OK</v>
      </c>
    </row>
    <row r="224" spans="1:15" x14ac:dyDescent="0.3">
      <c r="A224" t="s">
        <v>23</v>
      </c>
      <c r="B224" t="s">
        <v>24</v>
      </c>
      <c r="C224" t="s">
        <v>25</v>
      </c>
      <c r="D224">
        <v>14</v>
      </c>
      <c r="E224">
        <v>45</v>
      </c>
      <c r="F224" t="s">
        <v>22</v>
      </c>
      <c r="G224">
        <v>3</v>
      </c>
      <c r="H224">
        <v>95.238</v>
      </c>
      <c r="I224">
        <v>29.481999999999999</v>
      </c>
      <c r="J224">
        <v>38.939</v>
      </c>
      <c r="K224">
        <v>26.817</v>
      </c>
      <c r="L224" t="s">
        <v>18</v>
      </c>
      <c r="N224">
        <v>57.618000000000002</v>
      </c>
      <c r="O224" t="str">
        <f t="shared" si="4"/>
        <v>OK</v>
      </c>
    </row>
    <row r="225" spans="1:15" x14ac:dyDescent="0.3">
      <c r="A225" t="s">
        <v>26</v>
      </c>
      <c r="B225" t="s">
        <v>27</v>
      </c>
      <c r="C225" t="s">
        <v>28</v>
      </c>
      <c r="D225">
        <v>16</v>
      </c>
      <c r="E225">
        <v>45</v>
      </c>
      <c r="F225" t="s">
        <v>33</v>
      </c>
      <c r="G225">
        <v>7</v>
      </c>
      <c r="H225">
        <v>96.295000000000002</v>
      </c>
      <c r="I225">
        <v>29.818999999999999</v>
      </c>
      <c r="J225">
        <v>39.432000000000002</v>
      </c>
      <c r="K225">
        <v>27.044</v>
      </c>
      <c r="L225" t="s">
        <v>18</v>
      </c>
      <c r="N225">
        <v>45.664000000000001</v>
      </c>
      <c r="O225" t="str">
        <f t="shared" si="4"/>
        <v>OK</v>
      </c>
    </row>
    <row r="226" spans="1:15" x14ac:dyDescent="0.3">
      <c r="A226" t="s">
        <v>29</v>
      </c>
      <c r="B226" t="s">
        <v>30</v>
      </c>
      <c r="C226" t="s">
        <v>31</v>
      </c>
      <c r="D226">
        <v>4</v>
      </c>
      <c r="E226">
        <v>45</v>
      </c>
      <c r="F226" t="s">
        <v>33</v>
      </c>
      <c r="G226">
        <v>5</v>
      </c>
      <c r="H226">
        <v>96.488</v>
      </c>
      <c r="I226">
        <v>29.856999999999999</v>
      </c>
      <c r="J226">
        <v>39.673000000000002</v>
      </c>
      <c r="K226">
        <v>26.957999999999998</v>
      </c>
      <c r="L226" t="s">
        <v>18</v>
      </c>
      <c r="N226">
        <v>61.412999999999997</v>
      </c>
      <c r="O226" t="str">
        <f t="shared" si="4"/>
        <v>OK</v>
      </c>
    </row>
    <row r="227" spans="1:15" x14ac:dyDescent="0.3">
      <c r="A227" t="s">
        <v>14</v>
      </c>
      <c r="B227" t="s">
        <v>15</v>
      </c>
      <c r="C227" t="s">
        <v>16</v>
      </c>
      <c r="D227">
        <v>1</v>
      </c>
      <c r="E227">
        <v>46</v>
      </c>
      <c r="F227" t="s">
        <v>33</v>
      </c>
      <c r="G227">
        <v>6</v>
      </c>
      <c r="H227">
        <v>95.284999999999997</v>
      </c>
      <c r="I227">
        <v>29.581</v>
      </c>
      <c r="J227">
        <v>38.896999999999998</v>
      </c>
      <c r="K227">
        <v>26.806999999999999</v>
      </c>
      <c r="L227" t="s">
        <v>18</v>
      </c>
      <c r="N227">
        <v>0</v>
      </c>
      <c r="O227" t="str">
        <f t="shared" si="4"/>
        <v>OK</v>
      </c>
    </row>
    <row r="228" spans="1:15" x14ac:dyDescent="0.3">
      <c r="A228" t="s">
        <v>19</v>
      </c>
      <c r="B228" t="s">
        <v>20</v>
      </c>
      <c r="C228" t="s">
        <v>21</v>
      </c>
      <c r="D228">
        <v>44</v>
      </c>
      <c r="E228">
        <v>46</v>
      </c>
      <c r="F228" t="s">
        <v>22</v>
      </c>
      <c r="G228">
        <v>2</v>
      </c>
      <c r="H228">
        <v>95.019000000000005</v>
      </c>
      <c r="I228">
        <v>29.542000000000002</v>
      </c>
      <c r="J228">
        <v>39.042999999999999</v>
      </c>
      <c r="K228">
        <v>26.434000000000001</v>
      </c>
      <c r="L228" t="s">
        <v>18</v>
      </c>
      <c r="N228">
        <v>67.626999999999995</v>
      </c>
      <c r="O228" t="str">
        <f t="shared" si="4"/>
        <v>OK</v>
      </c>
    </row>
    <row r="229" spans="1:15" x14ac:dyDescent="0.3">
      <c r="A229" t="s">
        <v>23</v>
      </c>
      <c r="B229" t="s">
        <v>24</v>
      </c>
      <c r="C229" t="s">
        <v>25</v>
      </c>
      <c r="D229">
        <v>14</v>
      </c>
      <c r="E229">
        <v>46</v>
      </c>
      <c r="F229" t="s">
        <v>22</v>
      </c>
      <c r="G229">
        <v>4</v>
      </c>
      <c r="H229">
        <v>94.89</v>
      </c>
      <c r="I229">
        <v>29.341000000000001</v>
      </c>
      <c r="J229">
        <v>39.104999999999997</v>
      </c>
      <c r="K229">
        <v>26.443000000000001</v>
      </c>
      <c r="L229" t="s">
        <v>18</v>
      </c>
      <c r="N229">
        <v>57.222999999999999</v>
      </c>
      <c r="O229" t="str">
        <f t="shared" si="4"/>
        <v>OK</v>
      </c>
    </row>
    <row r="230" spans="1:15" x14ac:dyDescent="0.3">
      <c r="A230" t="s">
        <v>26</v>
      </c>
      <c r="B230" t="s">
        <v>27</v>
      </c>
      <c r="C230" t="s">
        <v>28</v>
      </c>
      <c r="D230">
        <v>16</v>
      </c>
      <c r="E230">
        <v>46</v>
      </c>
      <c r="F230" t="s">
        <v>33</v>
      </c>
      <c r="G230">
        <v>8</v>
      </c>
      <c r="H230">
        <v>96.197999999999993</v>
      </c>
      <c r="I230">
        <v>29.931999999999999</v>
      </c>
      <c r="J230">
        <v>39.506</v>
      </c>
      <c r="K230">
        <v>26.76</v>
      </c>
      <c r="L230" t="s">
        <v>18</v>
      </c>
      <c r="N230">
        <v>46.576999999999998</v>
      </c>
      <c r="O230" t="str">
        <f t="shared" si="4"/>
        <v>OK</v>
      </c>
    </row>
    <row r="231" spans="1:15" x14ac:dyDescent="0.3">
      <c r="A231" t="s">
        <v>29</v>
      </c>
      <c r="B231" t="s">
        <v>30</v>
      </c>
      <c r="C231" t="s">
        <v>31</v>
      </c>
      <c r="D231">
        <v>4</v>
      </c>
      <c r="E231">
        <v>46</v>
      </c>
      <c r="F231" t="s">
        <v>33</v>
      </c>
      <c r="G231">
        <v>6</v>
      </c>
      <c r="H231">
        <v>96.7</v>
      </c>
      <c r="I231">
        <v>29.835000000000001</v>
      </c>
      <c r="J231">
        <v>39.421999999999997</v>
      </c>
      <c r="K231">
        <v>27.443000000000001</v>
      </c>
      <c r="L231" t="s">
        <v>18</v>
      </c>
      <c r="N231">
        <v>62.829000000000001</v>
      </c>
      <c r="O231" t="str">
        <f t="shared" si="4"/>
        <v>OK</v>
      </c>
    </row>
    <row r="232" spans="1:15" x14ac:dyDescent="0.3">
      <c r="A232" t="s">
        <v>14</v>
      </c>
      <c r="B232" t="s">
        <v>15</v>
      </c>
      <c r="C232" t="s">
        <v>16</v>
      </c>
      <c r="D232">
        <v>1</v>
      </c>
      <c r="E232">
        <v>47</v>
      </c>
      <c r="F232" t="s">
        <v>33</v>
      </c>
      <c r="G232">
        <v>7</v>
      </c>
      <c r="H232">
        <v>95.614999999999995</v>
      </c>
      <c r="I232">
        <v>29.437999999999999</v>
      </c>
      <c r="J232">
        <v>39</v>
      </c>
      <c r="K232">
        <v>27.178000000000001</v>
      </c>
      <c r="L232" t="s">
        <v>18</v>
      </c>
      <c r="N232">
        <v>0</v>
      </c>
      <c r="O232" t="str">
        <f t="shared" si="4"/>
        <v>OK</v>
      </c>
    </row>
    <row r="233" spans="1:15" x14ac:dyDescent="0.3">
      <c r="A233" t="s">
        <v>19</v>
      </c>
      <c r="B233" t="s">
        <v>20</v>
      </c>
      <c r="C233" t="s">
        <v>21</v>
      </c>
      <c r="D233">
        <v>44</v>
      </c>
      <c r="E233">
        <v>47</v>
      </c>
      <c r="F233" t="s">
        <v>22</v>
      </c>
      <c r="G233">
        <v>3</v>
      </c>
      <c r="H233">
        <v>94.844999999999999</v>
      </c>
      <c r="I233">
        <v>29.306000000000001</v>
      </c>
      <c r="J233">
        <v>38.994</v>
      </c>
      <c r="K233">
        <v>26.545000000000002</v>
      </c>
      <c r="L233" t="s">
        <v>18</v>
      </c>
      <c r="N233">
        <v>66.856999999999999</v>
      </c>
      <c r="O233" t="str">
        <f t="shared" si="4"/>
        <v>OK</v>
      </c>
    </row>
    <row r="234" spans="1:15" x14ac:dyDescent="0.3">
      <c r="A234" t="s">
        <v>23</v>
      </c>
      <c r="B234" t="s">
        <v>24</v>
      </c>
      <c r="C234" t="s">
        <v>25</v>
      </c>
      <c r="D234">
        <v>14</v>
      </c>
      <c r="E234">
        <v>47</v>
      </c>
      <c r="F234" t="s">
        <v>22</v>
      </c>
      <c r="G234">
        <v>5</v>
      </c>
      <c r="H234">
        <v>95.26</v>
      </c>
      <c r="I234">
        <v>29.449000000000002</v>
      </c>
      <c r="J234">
        <v>39.043999999999997</v>
      </c>
      <c r="K234">
        <v>26.766999999999999</v>
      </c>
      <c r="L234" t="s">
        <v>18</v>
      </c>
      <c r="N234">
        <v>56.866999999999997</v>
      </c>
      <c r="O234" t="str">
        <f t="shared" si="4"/>
        <v>OK</v>
      </c>
    </row>
    <row r="235" spans="1:15" x14ac:dyDescent="0.3">
      <c r="A235" t="s">
        <v>26</v>
      </c>
      <c r="B235" t="s">
        <v>27</v>
      </c>
      <c r="C235" t="s">
        <v>28</v>
      </c>
      <c r="D235">
        <v>16</v>
      </c>
      <c r="E235">
        <v>47</v>
      </c>
      <c r="F235" t="s">
        <v>33</v>
      </c>
      <c r="G235">
        <v>9</v>
      </c>
      <c r="H235">
        <v>96.397999999999996</v>
      </c>
      <c r="I235">
        <v>29.891999999999999</v>
      </c>
      <c r="J235">
        <v>39.411999999999999</v>
      </c>
      <c r="K235">
        <v>27.094000000000001</v>
      </c>
      <c r="L235" t="s">
        <v>18</v>
      </c>
      <c r="N235">
        <v>47.359000000000002</v>
      </c>
      <c r="O235" t="str">
        <f t="shared" si="4"/>
        <v>OK</v>
      </c>
    </row>
    <row r="236" spans="1:15" x14ac:dyDescent="0.3">
      <c r="A236" t="s">
        <v>29</v>
      </c>
      <c r="B236" t="s">
        <v>30</v>
      </c>
      <c r="C236" t="s">
        <v>31</v>
      </c>
      <c r="D236">
        <v>4</v>
      </c>
      <c r="E236">
        <v>47</v>
      </c>
      <c r="F236" t="s">
        <v>33</v>
      </c>
      <c r="G236">
        <v>7</v>
      </c>
      <c r="H236">
        <v>96.531999999999996</v>
      </c>
      <c r="I236">
        <v>29.771999999999998</v>
      </c>
      <c r="J236">
        <v>39.484999999999999</v>
      </c>
      <c r="K236">
        <v>27.276</v>
      </c>
      <c r="L236" t="s">
        <v>18</v>
      </c>
      <c r="N236">
        <v>63.746000000000002</v>
      </c>
      <c r="O236" t="str">
        <f t="shared" si="4"/>
        <v>OK</v>
      </c>
    </row>
    <row r="237" spans="1:15" x14ac:dyDescent="0.3">
      <c r="A237" t="s">
        <v>14</v>
      </c>
      <c r="B237" t="s">
        <v>15</v>
      </c>
      <c r="C237" t="s">
        <v>16</v>
      </c>
      <c r="D237">
        <v>1</v>
      </c>
      <c r="E237">
        <v>48</v>
      </c>
      <c r="F237" t="s">
        <v>33</v>
      </c>
      <c r="G237">
        <v>8</v>
      </c>
      <c r="H237">
        <v>95.366</v>
      </c>
      <c r="I237">
        <v>29.486000000000001</v>
      </c>
      <c r="J237">
        <v>38.921999999999997</v>
      </c>
      <c r="K237">
        <v>26.959</v>
      </c>
      <c r="L237" t="s">
        <v>18</v>
      </c>
      <c r="N237">
        <v>0</v>
      </c>
      <c r="O237" t="str">
        <f t="shared" si="4"/>
        <v>OK</v>
      </c>
    </row>
    <row r="238" spans="1:15" x14ac:dyDescent="0.3">
      <c r="A238" t="s">
        <v>19</v>
      </c>
      <c r="B238" t="s">
        <v>20</v>
      </c>
      <c r="C238" t="s">
        <v>21</v>
      </c>
      <c r="D238">
        <v>44</v>
      </c>
      <c r="E238">
        <v>48</v>
      </c>
      <c r="F238" t="s">
        <v>22</v>
      </c>
      <c r="G238">
        <v>4</v>
      </c>
      <c r="H238">
        <v>95.072999999999993</v>
      </c>
      <c r="I238">
        <v>29.451000000000001</v>
      </c>
      <c r="J238">
        <v>38.908999999999999</v>
      </c>
      <c r="K238">
        <v>26.713999999999999</v>
      </c>
      <c r="L238" t="s">
        <v>18</v>
      </c>
      <c r="N238">
        <v>66.563999999999993</v>
      </c>
      <c r="O238" t="str">
        <f t="shared" si="4"/>
        <v>OK</v>
      </c>
    </row>
    <row r="239" spans="1:15" x14ac:dyDescent="0.3">
      <c r="A239" t="s">
        <v>23</v>
      </c>
      <c r="B239" t="s">
        <v>24</v>
      </c>
      <c r="C239" t="s">
        <v>25</v>
      </c>
      <c r="D239">
        <v>14</v>
      </c>
      <c r="E239">
        <v>48</v>
      </c>
      <c r="F239" t="s">
        <v>22</v>
      </c>
      <c r="G239">
        <v>6</v>
      </c>
      <c r="H239">
        <v>95.177000000000007</v>
      </c>
      <c r="I239">
        <v>29.539000000000001</v>
      </c>
      <c r="J239">
        <v>38.917999999999999</v>
      </c>
      <c r="K239">
        <v>26.719000000000001</v>
      </c>
      <c r="L239" t="s">
        <v>18</v>
      </c>
      <c r="N239">
        <v>56.677</v>
      </c>
      <c r="O239" t="str">
        <f t="shared" si="4"/>
        <v>OK</v>
      </c>
    </row>
    <row r="240" spans="1:15" x14ac:dyDescent="0.3">
      <c r="A240" t="s">
        <v>26</v>
      </c>
      <c r="B240" t="s">
        <v>27</v>
      </c>
      <c r="C240" t="s">
        <v>28</v>
      </c>
      <c r="D240">
        <v>16</v>
      </c>
      <c r="E240">
        <v>48</v>
      </c>
      <c r="F240" t="s">
        <v>33</v>
      </c>
      <c r="G240">
        <v>10</v>
      </c>
      <c r="H240">
        <v>96.376000000000005</v>
      </c>
      <c r="I240">
        <v>29.779</v>
      </c>
      <c r="J240">
        <v>39.463000000000001</v>
      </c>
      <c r="K240">
        <v>27.134</v>
      </c>
      <c r="L240" t="s">
        <v>18</v>
      </c>
      <c r="N240">
        <v>48.369</v>
      </c>
      <c r="O240" t="str">
        <f t="shared" si="4"/>
        <v>OK</v>
      </c>
    </row>
    <row r="241" spans="1:15" x14ac:dyDescent="0.3">
      <c r="A241" t="s">
        <v>29</v>
      </c>
      <c r="B241" t="s">
        <v>30</v>
      </c>
      <c r="C241" t="s">
        <v>31</v>
      </c>
      <c r="D241">
        <v>4</v>
      </c>
      <c r="E241">
        <v>48</v>
      </c>
      <c r="F241" t="s">
        <v>33</v>
      </c>
      <c r="G241">
        <v>8</v>
      </c>
      <c r="H241">
        <v>96.866</v>
      </c>
      <c r="I241">
        <v>29.890999999999998</v>
      </c>
      <c r="J241">
        <v>39.625999999999998</v>
      </c>
      <c r="K241">
        <v>27.349</v>
      </c>
      <c r="L241" t="s">
        <v>18</v>
      </c>
      <c r="N241">
        <v>65.245000000000005</v>
      </c>
      <c r="O241" t="str">
        <f t="shared" si="4"/>
        <v>OK</v>
      </c>
    </row>
    <row r="242" spans="1:15" x14ac:dyDescent="0.3">
      <c r="A242" t="s">
        <v>14</v>
      </c>
      <c r="B242" t="s">
        <v>15</v>
      </c>
      <c r="C242" t="s">
        <v>16</v>
      </c>
      <c r="D242">
        <v>1</v>
      </c>
      <c r="E242">
        <v>49</v>
      </c>
      <c r="F242" t="s">
        <v>33</v>
      </c>
      <c r="G242">
        <v>9</v>
      </c>
      <c r="H242">
        <v>95.221999999999994</v>
      </c>
      <c r="I242">
        <v>29.387</v>
      </c>
      <c r="J242">
        <v>38.966000000000001</v>
      </c>
      <c r="K242">
        <v>26.87</v>
      </c>
      <c r="L242" t="s">
        <v>18</v>
      </c>
      <c r="N242">
        <v>0</v>
      </c>
      <c r="O242" t="str">
        <f t="shared" si="4"/>
        <v>OK</v>
      </c>
    </row>
    <row r="243" spans="1:15" x14ac:dyDescent="0.3">
      <c r="A243" t="s">
        <v>19</v>
      </c>
      <c r="B243" t="s">
        <v>20</v>
      </c>
      <c r="C243" t="s">
        <v>21</v>
      </c>
      <c r="D243">
        <v>44</v>
      </c>
      <c r="E243">
        <v>49</v>
      </c>
      <c r="F243" t="s">
        <v>22</v>
      </c>
      <c r="G243">
        <v>5</v>
      </c>
      <c r="H243">
        <v>95.284999999999997</v>
      </c>
      <c r="I243">
        <v>29.407</v>
      </c>
      <c r="J243">
        <v>38.963999999999999</v>
      </c>
      <c r="K243">
        <v>26.913</v>
      </c>
      <c r="L243" t="s">
        <v>18</v>
      </c>
      <c r="N243">
        <v>66.626999999999995</v>
      </c>
      <c r="O243" t="str">
        <f t="shared" si="4"/>
        <v>OK</v>
      </c>
    </row>
    <row r="244" spans="1:15" x14ac:dyDescent="0.3">
      <c r="A244" t="s">
        <v>23</v>
      </c>
      <c r="B244" t="s">
        <v>24</v>
      </c>
      <c r="C244" t="s">
        <v>25</v>
      </c>
      <c r="D244">
        <v>14</v>
      </c>
      <c r="E244">
        <v>49</v>
      </c>
      <c r="F244" t="s">
        <v>22</v>
      </c>
      <c r="G244">
        <v>7</v>
      </c>
      <c r="H244">
        <v>95.123000000000005</v>
      </c>
      <c r="I244">
        <v>29.577999999999999</v>
      </c>
      <c r="J244">
        <v>39.030999999999999</v>
      </c>
      <c r="K244">
        <v>26.515000000000001</v>
      </c>
      <c r="L244" t="s">
        <v>18</v>
      </c>
      <c r="N244">
        <v>56.578000000000003</v>
      </c>
      <c r="O244" t="str">
        <f t="shared" si="4"/>
        <v>OK</v>
      </c>
    </row>
    <row r="245" spans="1:15" x14ac:dyDescent="0.3">
      <c r="A245" t="s">
        <v>26</v>
      </c>
      <c r="B245" t="s">
        <v>27</v>
      </c>
      <c r="C245" t="s">
        <v>28</v>
      </c>
      <c r="D245">
        <v>16</v>
      </c>
      <c r="E245">
        <v>49</v>
      </c>
      <c r="F245" t="s">
        <v>33</v>
      </c>
      <c r="G245">
        <v>11</v>
      </c>
      <c r="H245">
        <v>96.236999999999995</v>
      </c>
      <c r="I245">
        <v>29.806999999999999</v>
      </c>
      <c r="J245">
        <v>39.353000000000002</v>
      </c>
      <c r="K245">
        <v>27.077000000000002</v>
      </c>
      <c r="L245" t="s">
        <v>18</v>
      </c>
      <c r="N245">
        <v>49.384</v>
      </c>
      <c r="O245" t="str">
        <f t="shared" si="4"/>
        <v>OK</v>
      </c>
    </row>
    <row r="246" spans="1:15" x14ac:dyDescent="0.3">
      <c r="A246" t="s">
        <v>29</v>
      </c>
      <c r="B246" t="s">
        <v>30</v>
      </c>
      <c r="C246" t="s">
        <v>31</v>
      </c>
      <c r="D246">
        <v>4</v>
      </c>
      <c r="E246">
        <v>49</v>
      </c>
      <c r="F246" t="s">
        <v>33</v>
      </c>
      <c r="G246">
        <v>9</v>
      </c>
      <c r="H246">
        <v>96.629000000000005</v>
      </c>
      <c r="I246">
        <v>29.76</v>
      </c>
      <c r="J246">
        <v>39.542000000000002</v>
      </c>
      <c r="K246">
        <v>27.326000000000001</v>
      </c>
      <c r="L246" t="s">
        <v>18</v>
      </c>
      <c r="N246">
        <v>66.652000000000001</v>
      </c>
      <c r="O246" t="str">
        <f t="shared" si="4"/>
        <v>OK</v>
      </c>
    </row>
    <row r="247" spans="1:15" x14ac:dyDescent="0.3">
      <c r="A247" t="s">
        <v>14</v>
      </c>
      <c r="B247" t="s">
        <v>15</v>
      </c>
      <c r="C247" t="s">
        <v>16</v>
      </c>
      <c r="D247">
        <v>1</v>
      </c>
      <c r="E247">
        <v>50</v>
      </c>
      <c r="F247" t="s">
        <v>33</v>
      </c>
      <c r="G247">
        <v>10</v>
      </c>
      <c r="H247">
        <v>95.248000000000005</v>
      </c>
      <c r="I247">
        <v>29.378</v>
      </c>
      <c r="J247">
        <v>38.942</v>
      </c>
      <c r="K247">
        <v>26.928000000000001</v>
      </c>
      <c r="L247" t="s">
        <v>18</v>
      </c>
      <c r="N247">
        <v>0</v>
      </c>
      <c r="O247" t="str">
        <f t="shared" si="4"/>
        <v>OK</v>
      </c>
    </row>
    <row r="248" spans="1:15" x14ac:dyDescent="0.3">
      <c r="A248" t="s">
        <v>19</v>
      </c>
      <c r="B248" t="s">
        <v>20</v>
      </c>
      <c r="C248" t="s">
        <v>21</v>
      </c>
      <c r="D248">
        <v>44</v>
      </c>
      <c r="E248">
        <v>50</v>
      </c>
      <c r="F248" t="s">
        <v>22</v>
      </c>
      <c r="G248">
        <v>6</v>
      </c>
      <c r="H248">
        <v>95.179000000000002</v>
      </c>
      <c r="I248">
        <v>29.331</v>
      </c>
      <c r="J248">
        <v>38.908000000000001</v>
      </c>
      <c r="K248">
        <v>26.939</v>
      </c>
      <c r="L248" t="s">
        <v>18</v>
      </c>
      <c r="N248">
        <v>66.557000000000002</v>
      </c>
      <c r="O248" t="str">
        <f t="shared" si="4"/>
        <v>OK</v>
      </c>
    </row>
    <row r="249" spans="1:15" x14ac:dyDescent="0.3">
      <c r="A249" t="s">
        <v>23</v>
      </c>
      <c r="B249" t="s">
        <v>24</v>
      </c>
      <c r="C249" t="s">
        <v>25</v>
      </c>
      <c r="D249">
        <v>14</v>
      </c>
      <c r="E249">
        <v>50</v>
      </c>
      <c r="F249" t="s">
        <v>22</v>
      </c>
      <c r="G249">
        <v>8</v>
      </c>
      <c r="H249">
        <v>95.113</v>
      </c>
      <c r="I249">
        <v>29.338999999999999</v>
      </c>
      <c r="J249">
        <v>38.975000000000001</v>
      </c>
      <c r="K249">
        <v>26.798999999999999</v>
      </c>
      <c r="L249" t="s">
        <v>18</v>
      </c>
      <c r="N249">
        <v>56.442999999999998</v>
      </c>
      <c r="O249" t="str">
        <f t="shared" si="4"/>
        <v>OK</v>
      </c>
    </row>
    <row r="250" spans="1:15" x14ac:dyDescent="0.3">
      <c r="A250" t="s">
        <v>26</v>
      </c>
      <c r="B250" t="s">
        <v>27</v>
      </c>
      <c r="C250" t="s">
        <v>28</v>
      </c>
      <c r="D250">
        <v>16</v>
      </c>
      <c r="E250">
        <v>50</v>
      </c>
      <c r="F250" t="s">
        <v>33</v>
      </c>
      <c r="G250">
        <v>12</v>
      </c>
      <c r="H250">
        <v>96.302999999999997</v>
      </c>
      <c r="I250">
        <v>29.672000000000001</v>
      </c>
      <c r="J250">
        <v>39.448999999999998</v>
      </c>
      <c r="K250">
        <v>27.181999999999999</v>
      </c>
      <c r="L250" t="s">
        <v>18</v>
      </c>
      <c r="N250">
        <v>50.439</v>
      </c>
      <c r="O250" t="str">
        <f t="shared" si="4"/>
        <v>OK</v>
      </c>
    </row>
    <row r="251" spans="1:15" x14ac:dyDescent="0.3">
      <c r="A251" t="s">
        <v>29</v>
      </c>
      <c r="B251" t="s">
        <v>30</v>
      </c>
      <c r="C251" t="s">
        <v>31</v>
      </c>
      <c r="D251">
        <v>4</v>
      </c>
      <c r="E251">
        <v>50</v>
      </c>
      <c r="F251" t="s">
        <v>33</v>
      </c>
      <c r="G251">
        <v>10</v>
      </c>
      <c r="H251">
        <v>96.54</v>
      </c>
      <c r="I251">
        <v>29.997</v>
      </c>
      <c r="J251">
        <v>39.484000000000002</v>
      </c>
      <c r="K251">
        <v>27.058</v>
      </c>
      <c r="L251" t="s">
        <v>18</v>
      </c>
      <c r="N251">
        <v>67.944000000000003</v>
      </c>
      <c r="O251" t="str">
        <f t="shared" si="4"/>
        <v>OK</v>
      </c>
    </row>
    <row r="252" spans="1:15" x14ac:dyDescent="0.3">
      <c r="A252" t="s">
        <v>14</v>
      </c>
      <c r="B252" t="s">
        <v>15</v>
      </c>
      <c r="C252" t="s">
        <v>16</v>
      </c>
      <c r="D252">
        <v>1</v>
      </c>
      <c r="E252">
        <v>51</v>
      </c>
      <c r="F252" t="s">
        <v>33</v>
      </c>
      <c r="G252">
        <v>11</v>
      </c>
      <c r="H252">
        <v>95.694999999999993</v>
      </c>
      <c r="I252">
        <v>29.541</v>
      </c>
      <c r="J252">
        <v>38.892000000000003</v>
      </c>
      <c r="K252">
        <v>27.262</v>
      </c>
      <c r="L252" t="s">
        <v>18</v>
      </c>
      <c r="N252">
        <v>0</v>
      </c>
      <c r="O252" t="str">
        <f t="shared" si="4"/>
        <v>OK</v>
      </c>
    </row>
    <row r="253" spans="1:15" x14ac:dyDescent="0.3">
      <c r="A253" t="s">
        <v>19</v>
      </c>
      <c r="B253" t="s">
        <v>20</v>
      </c>
      <c r="C253" t="s">
        <v>21</v>
      </c>
      <c r="D253">
        <v>44</v>
      </c>
      <c r="E253">
        <v>51</v>
      </c>
      <c r="F253" t="s">
        <v>22</v>
      </c>
      <c r="G253">
        <v>7</v>
      </c>
      <c r="H253">
        <v>95.441000000000003</v>
      </c>
      <c r="I253">
        <v>29.506</v>
      </c>
      <c r="J253">
        <v>38.923999999999999</v>
      </c>
      <c r="K253">
        <v>27.010999999999999</v>
      </c>
      <c r="L253" t="s">
        <v>18</v>
      </c>
      <c r="N253">
        <v>66.302999999999997</v>
      </c>
      <c r="O253" t="str">
        <f t="shared" si="4"/>
        <v>OK</v>
      </c>
    </row>
    <row r="254" spans="1:15" x14ac:dyDescent="0.3">
      <c r="A254" t="s">
        <v>23</v>
      </c>
      <c r="B254" t="s">
        <v>24</v>
      </c>
      <c r="C254" t="s">
        <v>25</v>
      </c>
      <c r="D254">
        <v>14</v>
      </c>
      <c r="E254">
        <v>51</v>
      </c>
      <c r="F254" t="s">
        <v>22</v>
      </c>
      <c r="G254">
        <v>9</v>
      </c>
      <c r="H254">
        <v>95.331000000000003</v>
      </c>
      <c r="I254">
        <v>29.489000000000001</v>
      </c>
      <c r="J254">
        <v>38.874000000000002</v>
      </c>
      <c r="K254">
        <v>26.968</v>
      </c>
      <c r="L254" t="s">
        <v>18</v>
      </c>
      <c r="N254">
        <v>56.079000000000001</v>
      </c>
      <c r="O254" t="str">
        <f t="shared" si="4"/>
        <v>OK</v>
      </c>
    </row>
    <row r="255" spans="1:15" x14ac:dyDescent="0.3">
      <c r="A255" t="s">
        <v>26</v>
      </c>
      <c r="B255" t="s">
        <v>27</v>
      </c>
      <c r="C255" t="s">
        <v>28</v>
      </c>
      <c r="D255">
        <v>16</v>
      </c>
      <c r="E255">
        <v>51</v>
      </c>
      <c r="F255" t="s">
        <v>33</v>
      </c>
      <c r="G255">
        <v>13</v>
      </c>
      <c r="H255">
        <v>96.257999999999996</v>
      </c>
      <c r="I255">
        <v>29.76</v>
      </c>
      <c r="J255">
        <v>39.51</v>
      </c>
      <c r="K255">
        <v>26.988</v>
      </c>
      <c r="L255" t="s">
        <v>18</v>
      </c>
      <c r="N255">
        <v>51.002000000000002</v>
      </c>
      <c r="O255" t="str">
        <f t="shared" si="4"/>
        <v>OK</v>
      </c>
    </row>
    <row r="256" spans="1:15" x14ac:dyDescent="0.3">
      <c r="A256" t="s">
        <v>29</v>
      </c>
      <c r="B256" t="s">
        <v>30</v>
      </c>
      <c r="C256" t="s">
        <v>31</v>
      </c>
      <c r="D256">
        <v>4</v>
      </c>
      <c r="E256">
        <v>51</v>
      </c>
      <c r="F256" t="s">
        <v>33</v>
      </c>
      <c r="G256">
        <v>11</v>
      </c>
      <c r="H256">
        <v>96.876000000000005</v>
      </c>
      <c r="I256">
        <v>29.97</v>
      </c>
      <c r="J256">
        <v>39.436999999999998</v>
      </c>
      <c r="K256">
        <v>27.469000000000001</v>
      </c>
      <c r="L256" t="s">
        <v>18</v>
      </c>
      <c r="N256">
        <v>69.123999999999995</v>
      </c>
      <c r="O256" t="str">
        <f t="shared" si="4"/>
        <v>OK</v>
      </c>
    </row>
    <row r="257" spans="1:15" x14ac:dyDescent="0.3">
      <c r="A257" t="s">
        <v>14</v>
      </c>
      <c r="B257" t="s">
        <v>15</v>
      </c>
      <c r="C257" t="s">
        <v>16</v>
      </c>
      <c r="D257">
        <v>1</v>
      </c>
      <c r="E257">
        <v>52</v>
      </c>
      <c r="F257" t="s">
        <v>33</v>
      </c>
      <c r="G257">
        <v>12</v>
      </c>
      <c r="H257">
        <v>95.494</v>
      </c>
      <c r="I257">
        <v>29.626999999999999</v>
      </c>
      <c r="J257">
        <v>38.85</v>
      </c>
      <c r="K257">
        <v>27.016999999999999</v>
      </c>
      <c r="L257" t="s">
        <v>18</v>
      </c>
      <c r="N257">
        <v>0</v>
      </c>
      <c r="O257" t="str">
        <f t="shared" si="4"/>
        <v>OK</v>
      </c>
    </row>
    <row r="258" spans="1:15" x14ac:dyDescent="0.3">
      <c r="A258" t="s">
        <v>19</v>
      </c>
      <c r="B258" t="s">
        <v>20</v>
      </c>
      <c r="C258" t="s">
        <v>21</v>
      </c>
      <c r="D258">
        <v>44</v>
      </c>
      <c r="E258">
        <v>52</v>
      </c>
      <c r="F258" t="s">
        <v>22</v>
      </c>
      <c r="G258">
        <v>8</v>
      </c>
      <c r="H258">
        <v>95.448999999999998</v>
      </c>
      <c r="I258">
        <v>29.350999999999999</v>
      </c>
      <c r="J258">
        <v>38.920999999999999</v>
      </c>
      <c r="K258">
        <v>27.177</v>
      </c>
      <c r="L258" t="s">
        <v>18</v>
      </c>
      <c r="N258">
        <v>66.259</v>
      </c>
      <c r="O258" t="str">
        <f t="shared" ref="O258:O286" si="5">IF(ABS((I258+J258+K258)-H258)&lt;0.01, "OK", "MISMATCH" )</f>
        <v>OK</v>
      </c>
    </row>
    <row r="259" spans="1:15" x14ac:dyDescent="0.3">
      <c r="A259" t="s">
        <v>23</v>
      </c>
      <c r="B259" t="s">
        <v>24</v>
      </c>
      <c r="C259" t="s">
        <v>25</v>
      </c>
      <c r="D259">
        <v>14</v>
      </c>
      <c r="E259">
        <v>52</v>
      </c>
      <c r="F259" t="s">
        <v>22</v>
      </c>
      <c r="G259">
        <v>10</v>
      </c>
      <c r="H259">
        <v>95.409000000000006</v>
      </c>
      <c r="I259">
        <v>29.562999999999999</v>
      </c>
      <c r="J259">
        <v>38.968000000000004</v>
      </c>
      <c r="K259">
        <v>26.878</v>
      </c>
      <c r="L259" t="s">
        <v>18</v>
      </c>
      <c r="N259">
        <v>55.994</v>
      </c>
      <c r="O259" t="str">
        <f t="shared" si="5"/>
        <v>OK</v>
      </c>
    </row>
    <row r="260" spans="1:15" x14ac:dyDescent="0.3">
      <c r="A260" t="s">
        <v>26</v>
      </c>
      <c r="B260" t="s">
        <v>27</v>
      </c>
      <c r="C260" t="s">
        <v>28</v>
      </c>
      <c r="D260">
        <v>16</v>
      </c>
      <c r="E260">
        <v>52</v>
      </c>
      <c r="F260" t="s">
        <v>33</v>
      </c>
      <c r="G260">
        <v>14</v>
      </c>
      <c r="H260">
        <v>96.403999999999996</v>
      </c>
      <c r="I260">
        <v>29.84</v>
      </c>
      <c r="J260">
        <v>39.302999999999997</v>
      </c>
      <c r="K260">
        <v>27.26</v>
      </c>
      <c r="L260" t="s">
        <v>18</v>
      </c>
      <c r="N260">
        <v>51.911999999999999</v>
      </c>
      <c r="O260" t="str">
        <f t="shared" si="5"/>
        <v>OK</v>
      </c>
    </row>
    <row r="261" spans="1:15" x14ac:dyDescent="0.3">
      <c r="A261" t="s">
        <v>29</v>
      </c>
      <c r="B261" t="s">
        <v>30</v>
      </c>
      <c r="C261" t="s">
        <v>31</v>
      </c>
      <c r="D261">
        <v>4</v>
      </c>
      <c r="E261">
        <v>52</v>
      </c>
      <c r="F261" t="s">
        <v>33</v>
      </c>
      <c r="G261">
        <v>12</v>
      </c>
      <c r="H261">
        <v>96.853999999999999</v>
      </c>
      <c r="I261">
        <v>29.91</v>
      </c>
      <c r="J261">
        <v>39.530999999999999</v>
      </c>
      <c r="K261">
        <v>27.413</v>
      </c>
      <c r="L261" t="s">
        <v>18</v>
      </c>
      <c r="N261">
        <v>70.484999999999999</v>
      </c>
      <c r="O261" t="str">
        <f t="shared" si="5"/>
        <v>OK</v>
      </c>
    </row>
    <row r="262" spans="1:15" x14ac:dyDescent="0.3">
      <c r="A262" t="s">
        <v>14</v>
      </c>
      <c r="B262" t="s">
        <v>15</v>
      </c>
      <c r="C262" t="s">
        <v>16</v>
      </c>
      <c r="D262">
        <v>1</v>
      </c>
      <c r="E262">
        <v>53</v>
      </c>
      <c r="F262" t="s">
        <v>33</v>
      </c>
      <c r="G262">
        <v>13</v>
      </c>
      <c r="H262">
        <v>95.563999999999993</v>
      </c>
      <c r="I262">
        <v>29.594000000000001</v>
      </c>
      <c r="J262">
        <v>38.972999999999999</v>
      </c>
      <c r="K262">
        <v>26.997</v>
      </c>
      <c r="L262" t="s">
        <v>18</v>
      </c>
      <c r="N262">
        <v>0</v>
      </c>
      <c r="O262" t="str">
        <f t="shared" si="5"/>
        <v>OK</v>
      </c>
    </row>
    <row r="263" spans="1:15" x14ac:dyDescent="0.3">
      <c r="A263" t="s">
        <v>19</v>
      </c>
      <c r="B263" t="s">
        <v>20</v>
      </c>
      <c r="C263" t="s">
        <v>21</v>
      </c>
      <c r="D263">
        <v>44</v>
      </c>
      <c r="E263">
        <v>53</v>
      </c>
      <c r="F263" t="s">
        <v>22</v>
      </c>
      <c r="G263">
        <v>9</v>
      </c>
      <c r="H263">
        <v>95.034000000000006</v>
      </c>
      <c r="I263">
        <v>29.393000000000001</v>
      </c>
      <c r="J263">
        <v>38.887999999999998</v>
      </c>
      <c r="K263">
        <v>26.753</v>
      </c>
      <c r="L263" t="s">
        <v>18</v>
      </c>
      <c r="N263">
        <v>65.728999999999999</v>
      </c>
      <c r="O263" t="str">
        <f t="shared" si="5"/>
        <v>OK</v>
      </c>
    </row>
    <row r="264" spans="1:15" x14ac:dyDescent="0.3">
      <c r="A264" t="s">
        <v>23</v>
      </c>
      <c r="B264" t="s">
        <v>24</v>
      </c>
      <c r="C264" t="s">
        <v>25</v>
      </c>
      <c r="D264">
        <v>14</v>
      </c>
      <c r="E264">
        <v>53</v>
      </c>
      <c r="F264" t="s">
        <v>22</v>
      </c>
      <c r="G264">
        <v>11</v>
      </c>
      <c r="H264">
        <v>95.204999999999998</v>
      </c>
      <c r="I264">
        <v>29.504999999999999</v>
      </c>
      <c r="J264">
        <v>38.965000000000003</v>
      </c>
      <c r="K264">
        <v>26.734000000000002</v>
      </c>
      <c r="L264" t="s">
        <v>18</v>
      </c>
      <c r="N264">
        <v>55.634999999999998</v>
      </c>
      <c r="O264" t="str">
        <f t="shared" si="5"/>
        <v>OK</v>
      </c>
    </row>
    <row r="265" spans="1:15" x14ac:dyDescent="0.3">
      <c r="A265" t="s">
        <v>26</v>
      </c>
      <c r="B265" t="s">
        <v>27</v>
      </c>
      <c r="C265" t="s">
        <v>28</v>
      </c>
      <c r="D265">
        <v>16</v>
      </c>
      <c r="E265">
        <v>53</v>
      </c>
      <c r="F265" t="s">
        <v>33</v>
      </c>
      <c r="G265">
        <v>15</v>
      </c>
      <c r="H265">
        <v>96.349000000000004</v>
      </c>
      <c r="I265">
        <v>29.684000000000001</v>
      </c>
      <c r="J265">
        <v>39.380000000000003</v>
      </c>
      <c r="K265">
        <v>27.286000000000001</v>
      </c>
      <c r="L265" t="s">
        <v>18</v>
      </c>
      <c r="N265">
        <v>52.697000000000003</v>
      </c>
      <c r="O265" t="str">
        <f t="shared" si="5"/>
        <v>OK</v>
      </c>
    </row>
    <row r="266" spans="1:15" x14ac:dyDescent="0.3">
      <c r="A266" t="s">
        <v>29</v>
      </c>
      <c r="B266" t="s">
        <v>30</v>
      </c>
      <c r="C266" t="s">
        <v>31</v>
      </c>
      <c r="D266">
        <v>4</v>
      </c>
      <c r="E266">
        <v>53</v>
      </c>
      <c r="F266" t="s">
        <v>33</v>
      </c>
      <c r="G266">
        <v>13</v>
      </c>
      <c r="H266">
        <v>96.881</v>
      </c>
      <c r="I266">
        <v>29.978999999999999</v>
      </c>
      <c r="J266">
        <v>39.688000000000002</v>
      </c>
      <c r="K266">
        <v>27.213000000000001</v>
      </c>
      <c r="L266" t="s">
        <v>18</v>
      </c>
      <c r="N266">
        <v>71.802000000000007</v>
      </c>
      <c r="O266" t="str">
        <f t="shared" si="5"/>
        <v>OK</v>
      </c>
    </row>
    <row r="267" spans="1:15" x14ac:dyDescent="0.3">
      <c r="A267" t="s">
        <v>14</v>
      </c>
      <c r="B267" t="s">
        <v>15</v>
      </c>
      <c r="C267" t="s">
        <v>16</v>
      </c>
      <c r="D267">
        <v>1</v>
      </c>
      <c r="E267">
        <v>54</v>
      </c>
      <c r="F267" t="s">
        <v>33</v>
      </c>
      <c r="G267">
        <v>14</v>
      </c>
      <c r="H267">
        <v>95.397999999999996</v>
      </c>
      <c r="I267">
        <v>29.628</v>
      </c>
      <c r="J267">
        <v>39.061999999999998</v>
      </c>
      <c r="K267">
        <v>26.707999999999998</v>
      </c>
      <c r="L267" t="s">
        <v>18</v>
      </c>
      <c r="N267">
        <v>0</v>
      </c>
      <c r="O267" t="str">
        <f t="shared" si="5"/>
        <v>OK</v>
      </c>
    </row>
    <row r="268" spans="1:15" x14ac:dyDescent="0.3">
      <c r="A268" t="s">
        <v>19</v>
      </c>
      <c r="B268" t="s">
        <v>20</v>
      </c>
      <c r="C268" t="s">
        <v>21</v>
      </c>
      <c r="D268">
        <v>44</v>
      </c>
      <c r="E268">
        <v>54</v>
      </c>
      <c r="F268" t="s">
        <v>22</v>
      </c>
      <c r="G268">
        <v>10</v>
      </c>
      <c r="H268">
        <v>95.162000000000006</v>
      </c>
      <c r="I268">
        <v>29.292999999999999</v>
      </c>
      <c r="J268">
        <v>38.826999999999998</v>
      </c>
      <c r="K268">
        <v>27.042000000000002</v>
      </c>
      <c r="L268" t="s">
        <v>18</v>
      </c>
      <c r="N268">
        <v>65.492999999999995</v>
      </c>
      <c r="O268" t="str">
        <f t="shared" si="5"/>
        <v>OK</v>
      </c>
    </row>
    <row r="269" spans="1:15" x14ac:dyDescent="0.3">
      <c r="A269" t="s">
        <v>23</v>
      </c>
      <c r="B269" t="s">
        <v>24</v>
      </c>
      <c r="C269" t="s">
        <v>25</v>
      </c>
      <c r="D269">
        <v>14</v>
      </c>
      <c r="E269">
        <v>54</v>
      </c>
      <c r="F269" t="s">
        <v>22</v>
      </c>
      <c r="G269">
        <v>12</v>
      </c>
      <c r="H269">
        <v>95.319000000000003</v>
      </c>
      <c r="I269">
        <v>29.536999999999999</v>
      </c>
      <c r="J269">
        <v>39.055999999999997</v>
      </c>
      <c r="K269">
        <v>26.725999999999999</v>
      </c>
      <c r="L269" t="s">
        <v>18</v>
      </c>
      <c r="N269">
        <v>55.555999999999997</v>
      </c>
      <c r="O269" t="str">
        <f t="shared" si="5"/>
        <v>OK</v>
      </c>
    </row>
    <row r="270" spans="1:15" x14ac:dyDescent="0.3">
      <c r="A270" t="s">
        <v>26</v>
      </c>
      <c r="B270" t="s">
        <v>27</v>
      </c>
      <c r="C270" t="s">
        <v>28</v>
      </c>
      <c r="D270">
        <v>16</v>
      </c>
      <c r="E270">
        <v>54</v>
      </c>
      <c r="F270" t="s">
        <v>33</v>
      </c>
      <c r="G270">
        <v>16</v>
      </c>
      <c r="H270">
        <v>96.768000000000001</v>
      </c>
      <c r="I270">
        <v>29.69</v>
      </c>
      <c r="J270">
        <v>39.448999999999998</v>
      </c>
      <c r="K270">
        <v>27.629000000000001</v>
      </c>
      <c r="L270" t="s">
        <v>18</v>
      </c>
      <c r="N270">
        <v>54.067</v>
      </c>
      <c r="O270" t="str">
        <f t="shared" si="5"/>
        <v>OK</v>
      </c>
    </row>
    <row r="271" spans="1:15" x14ac:dyDescent="0.3">
      <c r="A271" t="s">
        <v>29</v>
      </c>
      <c r="B271" t="s">
        <v>30</v>
      </c>
      <c r="C271" t="s">
        <v>31</v>
      </c>
      <c r="D271">
        <v>4</v>
      </c>
      <c r="E271">
        <v>54</v>
      </c>
      <c r="F271" t="s">
        <v>33</v>
      </c>
      <c r="G271">
        <v>14</v>
      </c>
      <c r="H271">
        <v>96.596999999999994</v>
      </c>
      <c r="I271">
        <v>29.872</v>
      </c>
      <c r="J271">
        <v>39.433</v>
      </c>
      <c r="K271">
        <v>27.292000000000002</v>
      </c>
      <c r="L271" t="s">
        <v>18</v>
      </c>
      <c r="N271">
        <v>73.001000000000005</v>
      </c>
      <c r="O271" t="str">
        <f t="shared" si="5"/>
        <v>OK</v>
      </c>
    </row>
    <row r="272" spans="1:15" x14ac:dyDescent="0.3">
      <c r="A272" t="s">
        <v>14</v>
      </c>
      <c r="B272" t="s">
        <v>15</v>
      </c>
      <c r="C272" t="s">
        <v>16</v>
      </c>
      <c r="D272">
        <v>1</v>
      </c>
      <c r="E272">
        <v>55</v>
      </c>
      <c r="F272" t="s">
        <v>33</v>
      </c>
      <c r="G272">
        <v>15</v>
      </c>
      <c r="H272">
        <v>95.33</v>
      </c>
      <c r="I272">
        <v>29.54</v>
      </c>
      <c r="J272">
        <v>39.1</v>
      </c>
      <c r="K272">
        <v>26.69</v>
      </c>
      <c r="L272" t="s">
        <v>18</v>
      </c>
      <c r="N272">
        <v>0</v>
      </c>
      <c r="O272" t="str">
        <f t="shared" si="5"/>
        <v>OK</v>
      </c>
    </row>
    <row r="273" spans="1:15" x14ac:dyDescent="0.3">
      <c r="A273" t="s">
        <v>19</v>
      </c>
      <c r="B273" t="s">
        <v>20</v>
      </c>
      <c r="C273" t="s">
        <v>21</v>
      </c>
      <c r="D273">
        <v>44</v>
      </c>
      <c r="E273">
        <v>55</v>
      </c>
      <c r="F273" t="s">
        <v>22</v>
      </c>
      <c r="G273">
        <v>11</v>
      </c>
      <c r="H273">
        <v>95.242999999999995</v>
      </c>
      <c r="I273">
        <v>29.494</v>
      </c>
      <c r="J273">
        <v>38.994999999999997</v>
      </c>
      <c r="K273">
        <v>26.753</v>
      </c>
      <c r="L273" t="s">
        <v>18</v>
      </c>
      <c r="N273">
        <v>65.406000000000006</v>
      </c>
      <c r="O273" t="str">
        <f t="shared" si="5"/>
        <v>OK</v>
      </c>
    </row>
    <row r="274" spans="1:15" x14ac:dyDescent="0.3">
      <c r="A274" t="s">
        <v>23</v>
      </c>
      <c r="B274" t="s">
        <v>24</v>
      </c>
      <c r="C274" t="s">
        <v>25</v>
      </c>
      <c r="D274">
        <v>14</v>
      </c>
      <c r="E274">
        <v>55</v>
      </c>
      <c r="F274" t="s">
        <v>22</v>
      </c>
      <c r="G274">
        <v>13</v>
      </c>
      <c r="H274">
        <v>95.814999999999998</v>
      </c>
      <c r="I274">
        <v>29.335000000000001</v>
      </c>
      <c r="J274">
        <v>38.905000000000001</v>
      </c>
      <c r="K274">
        <v>27.574999999999999</v>
      </c>
      <c r="L274" t="s">
        <v>18</v>
      </c>
      <c r="N274">
        <v>56.042000000000002</v>
      </c>
      <c r="O274" t="str">
        <f t="shared" si="5"/>
        <v>OK</v>
      </c>
    </row>
    <row r="275" spans="1:15" x14ac:dyDescent="0.3">
      <c r="A275" t="s">
        <v>26</v>
      </c>
      <c r="B275" t="s">
        <v>27</v>
      </c>
      <c r="C275" t="s">
        <v>28</v>
      </c>
      <c r="D275">
        <v>16</v>
      </c>
      <c r="E275">
        <v>55</v>
      </c>
      <c r="F275" t="s">
        <v>33</v>
      </c>
      <c r="G275">
        <v>17</v>
      </c>
      <c r="H275">
        <v>96.492999999999995</v>
      </c>
      <c r="I275">
        <v>29.797000000000001</v>
      </c>
      <c r="J275">
        <v>39.435000000000002</v>
      </c>
      <c r="K275">
        <v>27.262</v>
      </c>
      <c r="L275" t="s">
        <v>18</v>
      </c>
      <c r="N275">
        <v>55.23</v>
      </c>
      <c r="O275" t="str">
        <f t="shared" si="5"/>
        <v>OK</v>
      </c>
    </row>
    <row r="276" spans="1:15" x14ac:dyDescent="0.3">
      <c r="A276" t="s">
        <v>29</v>
      </c>
      <c r="B276" t="s">
        <v>30</v>
      </c>
      <c r="C276" t="s">
        <v>31</v>
      </c>
      <c r="D276">
        <v>4</v>
      </c>
      <c r="E276">
        <v>55</v>
      </c>
      <c r="F276" t="s">
        <v>33</v>
      </c>
      <c r="G276">
        <v>15</v>
      </c>
      <c r="H276">
        <v>96.734999999999999</v>
      </c>
      <c r="I276">
        <v>29.963999999999999</v>
      </c>
      <c r="J276">
        <v>39.448</v>
      </c>
      <c r="K276">
        <v>27.323</v>
      </c>
      <c r="L276" t="s">
        <v>18</v>
      </c>
      <c r="N276">
        <v>74.405000000000001</v>
      </c>
      <c r="O276" t="str">
        <f t="shared" si="5"/>
        <v>OK</v>
      </c>
    </row>
    <row r="277" spans="1:15" x14ac:dyDescent="0.3">
      <c r="A277" t="s">
        <v>14</v>
      </c>
      <c r="B277" t="s">
        <v>15</v>
      </c>
      <c r="C277" t="s">
        <v>16</v>
      </c>
      <c r="D277">
        <v>1</v>
      </c>
      <c r="E277">
        <v>56</v>
      </c>
      <c r="F277" t="s">
        <v>33</v>
      </c>
      <c r="G277">
        <v>16</v>
      </c>
      <c r="H277">
        <v>95.837000000000003</v>
      </c>
      <c r="I277">
        <v>29.640999999999998</v>
      </c>
      <c r="J277">
        <v>39.029000000000003</v>
      </c>
      <c r="K277">
        <v>27.167000000000002</v>
      </c>
      <c r="L277" t="s">
        <v>18</v>
      </c>
      <c r="N277">
        <v>0</v>
      </c>
      <c r="O277" t="str">
        <f t="shared" si="5"/>
        <v>OK</v>
      </c>
    </row>
    <row r="278" spans="1:15" x14ac:dyDescent="0.3">
      <c r="A278" t="s">
        <v>19</v>
      </c>
      <c r="B278" t="s">
        <v>20</v>
      </c>
      <c r="C278" t="s">
        <v>21</v>
      </c>
      <c r="D278">
        <v>44</v>
      </c>
      <c r="E278">
        <v>56</v>
      </c>
      <c r="F278" t="s">
        <v>22</v>
      </c>
      <c r="G278">
        <v>12</v>
      </c>
      <c r="H278">
        <v>95.16</v>
      </c>
      <c r="I278">
        <v>29.515000000000001</v>
      </c>
      <c r="J278">
        <v>38.901000000000003</v>
      </c>
      <c r="K278">
        <v>26.744</v>
      </c>
      <c r="L278" t="s">
        <v>18</v>
      </c>
      <c r="N278">
        <v>64.728999999999999</v>
      </c>
      <c r="O278" t="str">
        <f t="shared" si="5"/>
        <v>OK</v>
      </c>
    </row>
    <row r="279" spans="1:15" x14ac:dyDescent="0.3">
      <c r="A279" t="s">
        <v>23</v>
      </c>
      <c r="B279" t="s">
        <v>24</v>
      </c>
      <c r="C279" t="s">
        <v>25</v>
      </c>
      <c r="D279">
        <v>14</v>
      </c>
      <c r="E279">
        <v>56</v>
      </c>
      <c r="F279" t="s">
        <v>22</v>
      </c>
      <c r="G279">
        <v>14</v>
      </c>
      <c r="H279">
        <v>95.86</v>
      </c>
      <c r="I279">
        <v>29.440999999999999</v>
      </c>
      <c r="J279">
        <v>38.994999999999997</v>
      </c>
      <c r="K279">
        <v>27.425000000000001</v>
      </c>
      <c r="L279" t="s">
        <v>18</v>
      </c>
      <c r="N279">
        <v>56.064</v>
      </c>
      <c r="O279" t="str">
        <f t="shared" si="5"/>
        <v>OK</v>
      </c>
    </row>
    <row r="280" spans="1:15" x14ac:dyDescent="0.3">
      <c r="A280" t="s">
        <v>26</v>
      </c>
      <c r="B280" t="s">
        <v>27</v>
      </c>
      <c r="C280" t="s">
        <v>28</v>
      </c>
      <c r="D280">
        <v>16</v>
      </c>
      <c r="E280">
        <v>56</v>
      </c>
      <c r="F280" t="s">
        <v>33</v>
      </c>
      <c r="G280">
        <v>18</v>
      </c>
      <c r="H280">
        <v>96.608000000000004</v>
      </c>
      <c r="I280">
        <v>29.696000000000002</v>
      </c>
      <c r="J280">
        <v>39.473999999999997</v>
      </c>
      <c r="K280">
        <v>27.437000000000001</v>
      </c>
      <c r="L280" t="s">
        <v>18</v>
      </c>
      <c r="N280">
        <v>56.000999999999998</v>
      </c>
      <c r="O280" t="str">
        <f t="shared" si="5"/>
        <v>OK</v>
      </c>
    </row>
    <row r="281" spans="1:15" x14ac:dyDescent="0.3">
      <c r="A281" t="s">
        <v>29</v>
      </c>
      <c r="B281" t="s">
        <v>30</v>
      </c>
      <c r="C281" t="s">
        <v>31</v>
      </c>
      <c r="D281">
        <v>4</v>
      </c>
      <c r="E281">
        <v>56</v>
      </c>
      <c r="F281" t="s">
        <v>33</v>
      </c>
      <c r="G281">
        <v>16</v>
      </c>
      <c r="H281">
        <v>97.195999999999998</v>
      </c>
      <c r="I281">
        <v>30.004000000000001</v>
      </c>
      <c r="J281">
        <v>39.457999999999998</v>
      </c>
      <c r="K281">
        <v>27.734000000000002</v>
      </c>
      <c r="L281" t="s">
        <v>18</v>
      </c>
      <c r="N281">
        <v>75.763999999999996</v>
      </c>
      <c r="O281" t="str">
        <f t="shared" si="5"/>
        <v>OK</v>
      </c>
    </row>
    <row r="282" spans="1:15" x14ac:dyDescent="0.3">
      <c r="A282" t="s">
        <v>14</v>
      </c>
      <c r="B282" t="s">
        <v>15</v>
      </c>
      <c r="C282" t="s">
        <v>16</v>
      </c>
      <c r="D282">
        <v>1</v>
      </c>
      <c r="E282">
        <v>57</v>
      </c>
      <c r="F282" t="s">
        <v>33</v>
      </c>
      <c r="G282">
        <v>17</v>
      </c>
      <c r="H282">
        <v>95.385999999999996</v>
      </c>
      <c r="I282">
        <v>29.645</v>
      </c>
      <c r="J282">
        <v>39.090000000000003</v>
      </c>
      <c r="K282">
        <v>26.65</v>
      </c>
      <c r="L282" t="s">
        <v>18</v>
      </c>
      <c r="N282">
        <v>0</v>
      </c>
      <c r="O282" t="str">
        <f t="shared" si="5"/>
        <v>OK</v>
      </c>
    </row>
    <row r="283" spans="1:15" x14ac:dyDescent="0.3">
      <c r="A283" t="s">
        <v>19</v>
      </c>
      <c r="B283" t="s">
        <v>20</v>
      </c>
      <c r="C283" t="s">
        <v>21</v>
      </c>
      <c r="D283">
        <v>44</v>
      </c>
      <c r="E283">
        <v>57</v>
      </c>
      <c r="F283" t="s">
        <v>22</v>
      </c>
      <c r="G283">
        <v>13</v>
      </c>
      <c r="H283">
        <v>95.721999999999994</v>
      </c>
      <c r="I283">
        <v>29.579000000000001</v>
      </c>
      <c r="J283">
        <v>39</v>
      </c>
      <c r="K283">
        <v>27.143000000000001</v>
      </c>
      <c r="L283" t="s">
        <v>18</v>
      </c>
      <c r="N283">
        <v>65.064999999999998</v>
      </c>
      <c r="O283" t="str">
        <f t="shared" si="5"/>
        <v>OK</v>
      </c>
    </row>
    <row r="284" spans="1:15" x14ac:dyDescent="0.3">
      <c r="A284" t="s">
        <v>23</v>
      </c>
      <c r="B284" t="s">
        <v>24</v>
      </c>
      <c r="C284" t="s">
        <v>25</v>
      </c>
      <c r="D284">
        <v>14</v>
      </c>
      <c r="E284">
        <v>57</v>
      </c>
      <c r="F284" t="s">
        <v>22</v>
      </c>
      <c r="G284">
        <v>15</v>
      </c>
      <c r="H284">
        <v>95.87</v>
      </c>
      <c r="I284">
        <v>29.334</v>
      </c>
      <c r="J284">
        <v>38.917000000000002</v>
      </c>
      <c r="K284">
        <v>27.619</v>
      </c>
      <c r="L284" t="s">
        <v>18</v>
      </c>
      <c r="N284">
        <v>56.548000000000002</v>
      </c>
      <c r="O284" t="str">
        <f t="shared" si="5"/>
        <v>OK</v>
      </c>
    </row>
    <row r="285" spans="1:15" x14ac:dyDescent="0.3">
      <c r="A285" t="s">
        <v>26</v>
      </c>
      <c r="B285" t="s">
        <v>27</v>
      </c>
      <c r="C285" t="s">
        <v>28</v>
      </c>
      <c r="D285">
        <v>16</v>
      </c>
      <c r="E285">
        <v>57</v>
      </c>
      <c r="F285" t="s">
        <v>33</v>
      </c>
      <c r="G285">
        <v>19</v>
      </c>
      <c r="H285">
        <v>96.501000000000005</v>
      </c>
      <c r="I285">
        <v>29.777000000000001</v>
      </c>
      <c r="J285">
        <v>39.563000000000002</v>
      </c>
      <c r="K285">
        <v>27.16</v>
      </c>
      <c r="L285" t="s">
        <v>18</v>
      </c>
      <c r="N285">
        <v>57.115000000000002</v>
      </c>
      <c r="O285" t="str">
        <f t="shared" si="5"/>
        <v>OK</v>
      </c>
    </row>
    <row r="286" spans="1:15" x14ac:dyDescent="0.3">
      <c r="A286" t="s">
        <v>29</v>
      </c>
      <c r="B286" t="s">
        <v>30</v>
      </c>
      <c r="C286" t="s">
        <v>31</v>
      </c>
      <c r="D286">
        <v>4</v>
      </c>
      <c r="E286">
        <v>57</v>
      </c>
      <c r="F286" t="s">
        <v>33</v>
      </c>
      <c r="G286">
        <v>17</v>
      </c>
      <c r="H286">
        <v>97.093999999999994</v>
      </c>
      <c r="I286">
        <v>29.954999999999998</v>
      </c>
      <c r="J286">
        <v>39.408999999999999</v>
      </c>
      <c r="K286">
        <v>27.728999999999999</v>
      </c>
      <c r="L286" t="s">
        <v>18</v>
      </c>
      <c r="N286">
        <v>77.471999999999994</v>
      </c>
      <c r="O286" t="str">
        <f t="shared" si="5"/>
        <v>OK</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37539-9B73-48DC-BC8D-2B065C8472F0}">
  <dimension ref="A1:G145"/>
  <sheetViews>
    <sheetView topLeftCell="A98" zoomScale="116" workbookViewId="0">
      <selection activeCell="O119" sqref="O119"/>
    </sheetView>
  </sheetViews>
  <sheetFormatPr defaultRowHeight="14.4" x14ac:dyDescent="0.3"/>
  <cols>
    <col min="1" max="1" width="21.6640625" bestFit="1" customWidth="1"/>
    <col min="2" max="2" width="16.44140625" bestFit="1" customWidth="1"/>
    <col min="3" max="7" width="12.44140625" bestFit="1" customWidth="1"/>
    <col min="8" max="8" width="9" bestFit="1" customWidth="1"/>
    <col min="9" max="9" width="11.77734375" bestFit="1" customWidth="1"/>
    <col min="10" max="10" width="9" bestFit="1" customWidth="1"/>
    <col min="11" max="11" width="11.77734375" bestFit="1" customWidth="1"/>
    <col min="12" max="12" width="9" bestFit="1" customWidth="1"/>
    <col min="13" max="13" width="11.77734375" bestFit="1" customWidth="1"/>
    <col min="14" max="14" width="9" bestFit="1" customWidth="1"/>
    <col min="15" max="15" width="11.77734375" bestFit="1" customWidth="1"/>
    <col min="16" max="16" width="9" bestFit="1" customWidth="1"/>
    <col min="17" max="17" width="11.77734375" bestFit="1" customWidth="1"/>
    <col min="18" max="18" width="9" bestFit="1" customWidth="1"/>
    <col min="19" max="19" width="11.77734375" bestFit="1" customWidth="1"/>
    <col min="20" max="20" width="9" bestFit="1" customWidth="1"/>
    <col min="21" max="21" width="11.77734375" bestFit="1" customWidth="1"/>
    <col min="22" max="22" width="9" bestFit="1" customWidth="1"/>
    <col min="23" max="23" width="11.77734375" bestFit="1" customWidth="1"/>
    <col min="24" max="24" width="9" bestFit="1" customWidth="1"/>
    <col min="25" max="25" width="11.77734375" bestFit="1" customWidth="1"/>
    <col min="26" max="26" width="9" bestFit="1" customWidth="1"/>
    <col min="27" max="27" width="11.77734375" bestFit="1" customWidth="1"/>
    <col min="28" max="28" width="9" bestFit="1" customWidth="1"/>
    <col min="29" max="29" width="11.77734375" bestFit="1" customWidth="1"/>
    <col min="30" max="30" width="9" bestFit="1" customWidth="1"/>
    <col min="31" max="31" width="11.77734375" bestFit="1" customWidth="1"/>
    <col min="32" max="32" width="9" bestFit="1" customWidth="1"/>
    <col min="33" max="33" width="11.77734375" bestFit="1" customWidth="1"/>
    <col min="34" max="34" width="8" bestFit="1" customWidth="1"/>
    <col min="35" max="35" width="10.6640625" bestFit="1" customWidth="1"/>
    <col min="36" max="36" width="9" bestFit="1" customWidth="1"/>
    <col min="37" max="37" width="11.77734375" bestFit="1" customWidth="1"/>
    <col min="38" max="38" width="9" bestFit="1" customWidth="1"/>
    <col min="39" max="39" width="11.77734375" bestFit="1" customWidth="1"/>
    <col min="40" max="40" width="8.33203125" bestFit="1" customWidth="1"/>
    <col min="41" max="41" width="10.6640625" bestFit="1" customWidth="1"/>
    <col min="42" max="42" width="9" bestFit="1" customWidth="1"/>
    <col min="43" max="43" width="11.77734375" bestFit="1" customWidth="1"/>
    <col min="44" max="44" width="9" bestFit="1" customWidth="1"/>
    <col min="45" max="45" width="11.77734375" bestFit="1" customWidth="1"/>
    <col min="46" max="46" width="9" bestFit="1" customWidth="1"/>
    <col min="47" max="47" width="11.77734375" bestFit="1" customWidth="1"/>
    <col min="48" max="48" width="9" bestFit="1" customWidth="1"/>
    <col min="49" max="49" width="11.77734375" bestFit="1" customWidth="1"/>
    <col min="50" max="50" width="9" bestFit="1" customWidth="1"/>
    <col min="51" max="51" width="11.77734375" bestFit="1" customWidth="1"/>
    <col min="52" max="52" width="9" bestFit="1" customWidth="1"/>
    <col min="53" max="53" width="11.77734375" bestFit="1" customWidth="1"/>
    <col min="54" max="54" width="9" bestFit="1" customWidth="1"/>
    <col min="55" max="55" width="11.77734375" bestFit="1" customWidth="1"/>
    <col min="56" max="56" width="9" bestFit="1" customWidth="1"/>
    <col min="57" max="57" width="11.77734375" bestFit="1" customWidth="1"/>
    <col min="58" max="58" width="9" bestFit="1" customWidth="1"/>
    <col min="59" max="59" width="11.77734375" bestFit="1" customWidth="1"/>
    <col min="60" max="60" width="9" bestFit="1" customWidth="1"/>
    <col min="61" max="61" width="11.77734375" bestFit="1" customWidth="1"/>
    <col min="62" max="62" width="9" bestFit="1" customWidth="1"/>
    <col min="63" max="63" width="11.77734375" bestFit="1" customWidth="1"/>
    <col min="64" max="64" width="9" bestFit="1" customWidth="1"/>
    <col min="65" max="65" width="11.77734375" bestFit="1" customWidth="1"/>
    <col min="66" max="66" width="8" bestFit="1" customWidth="1"/>
    <col min="67" max="67" width="10.6640625" bestFit="1" customWidth="1"/>
    <col min="68" max="68" width="9" bestFit="1" customWidth="1"/>
    <col min="69" max="69" width="11.77734375" bestFit="1" customWidth="1"/>
    <col min="70" max="70" width="9" bestFit="1" customWidth="1"/>
    <col min="71" max="71" width="11.77734375" bestFit="1" customWidth="1"/>
    <col min="72" max="72" width="9" bestFit="1" customWidth="1"/>
    <col min="73" max="73" width="11.77734375" bestFit="1" customWidth="1"/>
    <col min="74" max="74" width="9" bestFit="1" customWidth="1"/>
    <col min="75" max="75" width="11.77734375" bestFit="1" customWidth="1"/>
    <col min="76" max="76" width="9" bestFit="1" customWidth="1"/>
    <col min="77" max="77" width="11.77734375" bestFit="1" customWidth="1"/>
    <col min="78" max="78" width="9" bestFit="1" customWidth="1"/>
    <col min="79" max="79" width="11.77734375" bestFit="1" customWidth="1"/>
    <col min="80" max="80" width="9" bestFit="1" customWidth="1"/>
    <col min="81" max="81" width="11.77734375" bestFit="1" customWidth="1"/>
    <col min="82" max="82" width="8.33203125" bestFit="1" customWidth="1"/>
    <col min="83" max="83" width="10.6640625" bestFit="1" customWidth="1"/>
    <col min="84" max="84" width="9" bestFit="1" customWidth="1"/>
    <col min="85" max="85" width="11.77734375" bestFit="1" customWidth="1"/>
    <col min="86" max="86" width="9" bestFit="1" customWidth="1"/>
    <col min="87" max="87" width="11.77734375" bestFit="1" customWidth="1"/>
    <col min="88" max="88" width="9" bestFit="1" customWidth="1"/>
    <col min="89" max="89" width="11.77734375" bestFit="1" customWidth="1"/>
    <col min="90" max="90" width="9" bestFit="1" customWidth="1"/>
    <col min="91" max="91" width="11.77734375" bestFit="1" customWidth="1"/>
    <col min="92" max="92" width="9" bestFit="1" customWidth="1"/>
    <col min="93" max="93" width="11.77734375" bestFit="1" customWidth="1"/>
    <col min="94" max="94" width="9" bestFit="1" customWidth="1"/>
    <col min="95" max="95" width="11.77734375" bestFit="1" customWidth="1"/>
    <col min="96" max="96" width="9" bestFit="1" customWidth="1"/>
    <col min="97" max="97" width="11.77734375" bestFit="1" customWidth="1"/>
    <col min="98" max="98" width="9" bestFit="1" customWidth="1"/>
    <col min="99" max="99" width="11.77734375" bestFit="1" customWidth="1"/>
    <col min="100" max="100" width="9" bestFit="1" customWidth="1"/>
    <col min="101" max="101" width="11.77734375" bestFit="1" customWidth="1"/>
    <col min="102" max="102" width="9" bestFit="1" customWidth="1"/>
    <col min="103" max="103" width="11.77734375" bestFit="1" customWidth="1"/>
    <col min="104" max="104" width="9" bestFit="1" customWidth="1"/>
    <col min="105" max="105" width="11.77734375" bestFit="1" customWidth="1"/>
    <col min="106" max="106" width="9" bestFit="1" customWidth="1"/>
    <col min="107" max="107" width="11.77734375" bestFit="1" customWidth="1"/>
    <col min="108" max="108" width="9" bestFit="1" customWidth="1"/>
    <col min="109" max="109" width="11.77734375" bestFit="1" customWidth="1"/>
    <col min="110" max="110" width="9" bestFit="1" customWidth="1"/>
    <col min="111" max="111" width="11.77734375" bestFit="1" customWidth="1"/>
    <col min="112" max="112" width="7" bestFit="1" customWidth="1"/>
    <col min="113" max="113" width="9.6640625" bestFit="1" customWidth="1"/>
    <col min="114" max="114" width="9" bestFit="1" customWidth="1"/>
    <col min="115" max="115" width="11.77734375" bestFit="1" customWidth="1"/>
    <col min="116" max="116" width="8" bestFit="1" customWidth="1"/>
    <col min="117" max="117" width="10.6640625" bestFit="1" customWidth="1"/>
    <col min="118" max="118" width="9" bestFit="1" customWidth="1"/>
    <col min="119" max="119" width="11.77734375" bestFit="1" customWidth="1"/>
    <col min="120" max="120" width="8.33203125" bestFit="1" customWidth="1"/>
    <col min="121" max="121" width="10.6640625" bestFit="1" customWidth="1"/>
    <col min="122" max="122" width="9" bestFit="1" customWidth="1"/>
    <col min="123" max="123" width="11.77734375" bestFit="1" customWidth="1"/>
    <col min="124" max="124" width="9" bestFit="1" customWidth="1"/>
    <col min="125" max="125" width="11.77734375" bestFit="1" customWidth="1"/>
    <col min="126" max="126" width="9" bestFit="1" customWidth="1"/>
    <col min="127" max="127" width="11.77734375" bestFit="1" customWidth="1"/>
    <col min="128" max="128" width="9" bestFit="1" customWidth="1"/>
    <col min="129" max="129" width="11.77734375" bestFit="1" customWidth="1"/>
    <col min="130" max="130" width="9" bestFit="1" customWidth="1"/>
    <col min="131" max="131" width="11.77734375" bestFit="1" customWidth="1"/>
    <col min="132" max="132" width="9" bestFit="1" customWidth="1"/>
    <col min="133" max="133" width="11.77734375" bestFit="1" customWidth="1"/>
    <col min="134" max="134" width="9" bestFit="1" customWidth="1"/>
    <col min="135" max="135" width="11.77734375" bestFit="1" customWidth="1"/>
    <col min="136" max="136" width="9" bestFit="1" customWidth="1"/>
    <col min="137" max="137" width="11.77734375" bestFit="1" customWidth="1"/>
    <col min="138" max="138" width="8.33203125" bestFit="1" customWidth="1"/>
    <col min="139" max="139" width="10.6640625" bestFit="1" customWidth="1"/>
    <col min="140" max="140" width="9" bestFit="1" customWidth="1"/>
    <col min="141" max="141" width="11.77734375" bestFit="1" customWidth="1"/>
    <col min="142" max="142" width="9" bestFit="1" customWidth="1"/>
    <col min="143" max="143" width="11.77734375" bestFit="1" customWidth="1"/>
    <col min="144" max="144" width="9" bestFit="1" customWidth="1"/>
    <col min="145" max="145" width="11.77734375" bestFit="1" customWidth="1"/>
    <col min="146" max="146" width="9" bestFit="1" customWidth="1"/>
    <col min="147" max="147" width="11.77734375" bestFit="1" customWidth="1"/>
    <col min="148" max="148" width="9" bestFit="1" customWidth="1"/>
    <col min="149" max="149" width="11.77734375" bestFit="1" customWidth="1"/>
    <col min="150" max="150" width="9" bestFit="1" customWidth="1"/>
    <col min="151" max="151" width="11.77734375" bestFit="1" customWidth="1"/>
    <col min="152" max="152" width="9" bestFit="1" customWidth="1"/>
    <col min="153" max="153" width="11.77734375" bestFit="1" customWidth="1"/>
    <col min="154" max="154" width="9" bestFit="1" customWidth="1"/>
    <col min="155" max="155" width="11.77734375" bestFit="1" customWidth="1"/>
    <col min="156" max="156" width="9" bestFit="1" customWidth="1"/>
    <col min="157" max="157" width="11.77734375" bestFit="1" customWidth="1"/>
    <col min="158" max="158" width="9" bestFit="1" customWidth="1"/>
    <col min="159" max="159" width="11.77734375" bestFit="1" customWidth="1"/>
    <col min="160" max="160" width="9" bestFit="1" customWidth="1"/>
    <col min="161" max="161" width="11.77734375" bestFit="1" customWidth="1"/>
    <col min="162" max="162" width="9" bestFit="1" customWidth="1"/>
    <col min="163" max="163" width="11.77734375" bestFit="1" customWidth="1"/>
    <col min="164" max="164" width="9" bestFit="1" customWidth="1"/>
    <col min="165" max="165" width="11.77734375" bestFit="1" customWidth="1"/>
    <col min="166" max="166" width="9" bestFit="1" customWidth="1"/>
    <col min="167" max="167" width="11.77734375" bestFit="1" customWidth="1"/>
    <col min="168" max="168" width="9" bestFit="1" customWidth="1"/>
    <col min="169" max="169" width="11.77734375" bestFit="1" customWidth="1"/>
    <col min="170" max="170" width="9" bestFit="1" customWidth="1"/>
    <col min="171" max="171" width="11.77734375" bestFit="1" customWidth="1"/>
    <col min="172" max="172" width="8.33203125" bestFit="1" customWidth="1"/>
    <col min="173" max="173" width="10.6640625" bestFit="1" customWidth="1"/>
    <col min="174" max="174" width="9" bestFit="1" customWidth="1"/>
    <col min="175" max="175" width="11.77734375" bestFit="1" customWidth="1"/>
    <col min="176" max="176" width="9" bestFit="1" customWidth="1"/>
    <col min="177" max="177" width="11.77734375" bestFit="1" customWidth="1"/>
    <col min="178" max="178" width="9" bestFit="1" customWidth="1"/>
    <col min="179" max="179" width="11.77734375" bestFit="1" customWidth="1"/>
    <col min="180" max="180" width="9" bestFit="1" customWidth="1"/>
    <col min="181" max="181" width="11.77734375" bestFit="1" customWidth="1"/>
    <col min="182" max="182" width="9" bestFit="1" customWidth="1"/>
    <col min="183" max="183" width="11.77734375" bestFit="1" customWidth="1"/>
    <col min="184" max="184" width="9" bestFit="1" customWidth="1"/>
    <col min="185" max="185" width="11.77734375" bestFit="1" customWidth="1"/>
    <col min="186" max="186" width="9" bestFit="1" customWidth="1"/>
    <col min="187" max="187" width="11.77734375" bestFit="1" customWidth="1"/>
    <col min="188" max="188" width="9" bestFit="1" customWidth="1"/>
    <col min="189" max="189" width="11.77734375" bestFit="1" customWidth="1"/>
    <col min="190" max="190" width="9" bestFit="1" customWidth="1"/>
    <col min="191" max="191" width="8.33203125" bestFit="1" customWidth="1"/>
    <col min="192" max="192" width="11.77734375" bestFit="1" customWidth="1"/>
    <col min="193" max="193" width="9" bestFit="1" customWidth="1"/>
    <col min="194" max="194" width="11.77734375" bestFit="1" customWidth="1"/>
    <col min="195" max="195" width="9" bestFit="1" customWidth="1"/>
    <col min="196" max="196" width="11.77734375" bestFit="1" customWidth="1"/>
    <col min="197" max="197" width="9" bestFit="1" customWidth="1"/>
    <col min="198" max="198" width="11.77734375" bestFit="1" customWidth="1"/>
    <col min="199" max="199" width="9" bestFit="1" customWidth="1"/>
    <col min="200" max="200" width="11.77734375" bestFit="1" customWidth="1"/>
    <col min="201" max="201" width="9" bestFit="1" customWidth="1"/>
    <col min="202" max="202" width="11.77734375" bestFit="1" customWidth="1"/>
    <col min="203" max="203" width="9" bestFit="1" customWidth="1"/>
    <col min="204" max="204" width="11.77734375" bestFit="1" customWidth="1"/>
    <col min="205" max="205" width="8.33203125" bestFit="1" customWidth="1"/>
    <col min="206" max="206" width="10.6640625" bestFit="1" customWidth="1"/>
    <col min="207" max="207" width="9" bestFit="1" customWidth="1"/>
    <col min="208" max="208" width="11.77734375" bestFit="1" customWidth="1"/>
    <col min="209" max="209" width="9" bestFit="1" customWidth="1"/>
    <col min="210" max="210" width="11.77734375" bestFit="1" customWidth="1"/>
    <col min="211" max="211" width="9" bestFit="1" customWidth="1"/>
    <col min="212" max="212" width="8.33203125" bestFit="1" customWidth="1"/>
    <col min="213" max="213" width="11.77734375" bestFit="1" customWidth="1"/>
    <col min="214" max="214" width="9" bestFit="1" customWidth="1"/>
    <col min="215" max="215" width="11.77734375" bestFit="1" customWidth="1"/>
    <col min="216" max="216" width="9" bestFit="1" customWidth="1"/>
    <col min="217" max="217" width="11.77734375" bestFit="1" customWidth="1"/>
    <col min="218" max="218" width="8" bestFit="1" customWidth="1"/>
    <col min="219" max="219" width="10.6640625" bestFit="1" customWidth="1"/>
    <col min="220" max="220" width="9" bestFit="1" customWidth="1"/>
    <col min="221" max="221" width="11.77734375" bestFit="1" customWidth="1"/>
    <col min="222" max="222" width="8.33203125" bestFit="1" customWidth="1"/>
    <col min="223" max="223" width="10.6640625" bestFit="1" customWidth="1"/>
    <col min="224" max="224" width="9" bestFit="1" customWidth="1"/>
    <col min="225" max="225" width="11.77734375" bestFit="1" customWidth="1"/>
    <col min="226" max="226" width="8" bestFit="1" customWidth="1"/>
    <col min="227" max="227" width="10.6640625" bestFit="1" customWidth="1"/>
    <col min="228" max="228" width="9" bestFit="1" customWidth="1"/>
    <col min="229" max="229" width="11.77734375" bestFit="1" customWidth="1"/>
    <col min="230" max="230" width="9" bestFit="1" customWidth="1"/>
    <col min="231" max="231" width="11.77734375" bestFit="1" customWidth="1"/>
    <col min="232" max="232" width="9" bestFit="1" customWidth="1"/>
    <col min="233" max="233" width="4.5546875" bestFit="1" customWidth="1"/>
    <col min="234" max="234" width="11.77734375" bestFit="1" customWidth="1"/>
    <col min="235" max="235" width="9" bestFit="1" customWidth="1"/>
    <col min="236" max="236" width="11.77734375" bestFit="1" customWidth="1"/>
    <col min="237" max="237" width="9" bestFit="1" customWidth="1"/>
    <col min="238" max="238" width="11.77734375" bestFit="1" customWidth="1"/>
    <col min="239" max="239" width="9" bestFit="1" customWidth="1"/>
    <col min="240" max="240" width="11.77734375" bestFit="1" customWidth="1"/>
    <col min="241" max="241" width="9" bestFit="1" customWidth="1"/>
    <col min="242" max="242" width="11.77734375" bestFit="1" customWidth="1"/>
    <col min="243" max="243" width="9" bestFit="1" customWidth="1"/>
    <col min="244" max="244" width="11.77734375" bestFit="1" customWidth="1"/>
    <col min="245" max="245" width="9" bestFit="1" customWidth="1"/>
    <col min="246" max="246" width="11.77734375" bestFit="1" customWidth="1"/>
    <col min="247" max="247" width="9" bestFit="1" customWidth="1"/>
    <col min="248" max="248" width="11.77734375" bestFit="1" customWidth="1"/>
    <col min="249" max="249" width="9" bestFit="1" customWidth="1"/>
    <col min="250" max="250" width="11.77734375" bestFit="1" customWidth="1"/>
    <col min="251" max="251" width="9" bestFit="1" customWidth="1"/>
    <col min="252" max="252" width="11.77734375" bestFit="1" customWidth="1"/>
    <col min="253" max="253" width="9" bestFit="1" customWidth="1"/>
    <col min="254" max="254" width="11.77734375" bestFit="1" customWidth="1"/>
    <col min="255" max="255" width="9" bestFit="1" customWidth="1"/>
    <col min="256" max="256" width="11.77734375" bestFit="1" customWidth="1"/>
    <col min="257" max="257" width="9" bestFit="1" customWidth="1"/>
    <col min="258" max="258" width="11.77734375" bestFit="1" customWidth="1"/>
    <col min="259" max="259" width="9" bestFit="1" customWidth="1"/>
    <col min="260" max="260" width="11.77734375" bestFit="1" customWidth="1"/>
    <col min="261" max="261" width="9" bestFit="1" customWidth="1"/>
    <col min="262" max="262" width="11.77734375" bestFit="1" customWidth="1"/>
    <col min="263" max="263" width="7" bestFit="1" customWidth="1"/>
    <col min="264" max="264" width="8.33203125" bestFit="1" customWidth="1"/>
    <col min="265" max="265" width="9.6640625" bestFit="1" customWidth="1"/>
    <col min="266" max="266" width="9" bestFit="1" customWidth="1"/>
    <col min="267" max="267" width="11.77734375" bestFit="1" customWidth="1"/>
    <col min="268" max="268" width="9" bestFit="1" customWidth="1"/>
    <col min="269" max="269" width="11.77734375" bestFit="1" customWidth="1"/>
    <col min="270" max="270" width="9" bestFit="1" customWidth="1"/>
    <col min="271" max="271" width="11.77734375" bestFit="1" customWidth="1"/>
    <col min="272" max="272" width="8.33203125" bestFit="1" customWidth="1"/>
    <col min="273" max="273" width="10.6640625" bestFit="1" customWidth="1"/>
    <col min="274" max="274" width="9" bestFit="1" customWidth="1"/>
    <col min="275" max="275" width="11.77734375" bestFit="1" customWidth="1"/>
    <col min="276" max="276" width="9" bestFit="1" customWidth="1"/>
    <col min="277" max="277" width="11.77734375" bestFit="1" customWidth="1"/>
    <col min="278" max="278" width="9" bestFit="1" customWidth="1"/>
    <col min="279" max="279" width="11.77734375" bestFit="1" customWidth="1"/>
    <col min="280" max="280" width="9" bestFit="1" customWidth="1"/>
    <col min="281" max="281" width="11.77734375" bestFit="1" customWidth="1"/>
    <col min="282" max="282" width="9" bestFit="1" customWidth="1"/>
    <col min="283" max="283" width="11.77734375" bestFit="1" customWidth="1"/>
    <col min="284" max="284" width="9" bestFit="1" customWidth="1"/>
    <col min="285" max="285" width="11.77734375" bestFit="1" customWidth="1"/>
    <col min="286" max="286" width="9" bestFit="1" customWidth="1"/>
    <col min="287" max="287" width="11.77734375" bestFit="1" customWidth="1"/>
    <col min="288" max="288" width="9" bestFit="1" customWidth="1"/>
    <col min="289" max="289" width="11.77734375" bestFit="1" customWidth="1"/>
    <col min="290" max="290" width="9" bestFit="1" customWidth="1"/>
    <col min="291" max="291" width="11.77734375" bestFit="1" customWidth="1"/>
    <col min="292" max="292" width="9" bestFit="1" customWidth="1"/>
    <col min="293" max="293" width="11.77734375" bestFit="1" customWidth="1"/>
    <col min="294" max="294" width="9" bestFit="1" customWidth="1"/>
    <col min="295" max="295" width="11.77734375" bestFit="1" customWidth="1"/>
    <col min="296" max="296" width="9" bestFit="1" customWidth="1"/>
    <col min="297" max="297" width="11.77734375" bestFit="1" customWidth="1"/>
    <col min="298" max="298" width="9" bestFit="1" customWidth="1"/>
    <col min="299" max="299" width="11.77734375" bestFit="1" customWidth="1"/>
    <col min="300" max="300" width="8.33203125" bestFit="1" customWidth="1"/>
    <col min="301" max="301" width="10.6640625" bestFit="1" customWidth="1"/>
    <col min="302" max="302" width="9" bestFit="1" customWidth="1"/>
    <col min="303" max="303" width="11.77734375" bestFit="1" customWidth="1"/>
    <col min="304" max="304" width="9" bestFit="1" customWidth="1"/>
    <col min="305" max="305" width="11.77734375" bestFit="1" customWidth="1"/>
    <col min="306" max="306" width="9" bestFit="1" customWidth="1"/>
    <col min="307" max="307" width="11.77734375" bestFit="1" customWidth="1"/>
    <col min="308" max="308" width="9" bestFit="1" customWidth="1"/>
    <col min="309" max="309" width="11.77734375" bestFit="1" customWidth="1"/>
    <col min="310" max="310" width="9" bestFit="1" customWidth="1"/>
    <col min="311" max="311" width="11.77734375" bestFit="1" customWidth="1"/>
    <col min="312" max="312" width="9" bestFit="1" customWidth="1"/>
    <col min="313" max="313" width="11.77734375" bestFit="1" customWidth="1"/>
    <col min="314" max="314" width="9" bestFit="1" customWidth="1"/>
    <col min="315" max="315" width="11.77734375" bestFit="1" customWidth="1"/>
    <col min="316" max="316" width="9" bestFit="1" customWidth="1"/>
    <col min="317" max="317" width="11.77734375" bestFit="1" customWidth="1"/>
    <col min="318" max="318" width="8.33203125" bestFit="1" customWidth="1"/>
    <col min="319" max="319" width="10.6640625" bestFit="1" customWidth="1"/>
    <col min="320" max="320" width="8.33203125" bestFit="1" customWidth="1"/>
    <col min="321" max="321" width="10.6640625" bestFit="1" customWidth="1"/>
    <col min="322" max="322" width="9" bestFit="1" customWidth="1"/>
    <col min="323" max="323" width="11.77734375" bestFit="1" customWidth="1"/>
    <col min="324" max="324" width="9" bestFit="1" customWidth="1"/>
    <col min="325" max="325" width="11.77734375" bestFit="1" customWidth="1"/>
    <col min="326" max="326" width="9" bestFit="1" customWidth="1"/>
    <col min="327" max="327" width="11.77734375" bestFit="1" customWidth="1"/>
    <col min="328" max="328" width="9" bestFit="1" customWidth="1"/>
    <col min="329" max="329" width="11.77734375" bestFit="1" customWidth="1"/>
    <col min="330" max="330" width="9" bestFit="1" customWidth="1"/>
    <col min="331" max="331" width="11.77734375" bestFit="1" customWidth="1"/>
    <col min="332" max="332" width="8" bestFit="1" customWidth="1"/>
    <col min="333" max="333" width="10.6640625" bestFit="1" customWidth="1"/>
    <col min="334" max="334" width="9" bestFit="1" customWidth="1"/>
    <col min="335" max="335" width="11.77734375" bestFit="1" customWidth="1"/>
    <col min="336" max="336" width="9" bestFit="1" customWidth="1"/>
    <col min="337" max="337" width="11.77734375" bestFit="1" customWidth="1"/>
    <col min="338" max="338" width="9" bestFit="1" customWidth="1"/>
    <col min="339" max="339" width="11.77734375" bestFit="1" customWidth="1"/>
    <col min="340" max="340" width="9" bestFit="1" customWidth="1"/>
    <col min="341" max="341" width="11.77734375" bestFit="1" customWidth="1"/>
    <col min="342" max="342" width="9" bestFit="1" customWidth="1"/>
    <col min="343" max="343" width="11.77734375" bestFit="1" customWidth="1"/>
    <col min="344" max="344" width="9" bestFit="1" customWidth="1"/>
    <col min="345" max="345" width="11.77734375" bestFit="1" customWidth="1"/>
    <col min="346" max="346" width="8" bestFit="1" customWidth="1"/>
    <col min="347" max="347" width="10.6640625" bestFit="1" customWidth="1"/>
    <col min="348" max="348" width="9" bestFit="1" customWidth="1"/>
    <col min="349" max="349" width="11.77734375" bestFit="1" customWidth="1"/>
    <col min="350" max="350" width="9" bestFit="1" customWidth="1"/>
    <col min="351" max="351" width="11.77734375" bestFit="1" customWidth="1"/>
    <col min="352" max="352" width="9" bestFit="1" customWidth="1"/>
    <col min="353" max="353" width="11.77734375" bestFit="1" customWidth="1"/>
    <col min="354" max="354" width="9" bestFit="1" customWidth="1"/>
    <col min="355" max="355" width="11.77734375" bestFit="1" customWidth="1"/>
    <col min="356" max="356" width="9" bestFit="1" customWidth="1"/>
    <col min="357" max="357" width="11.77734375" bestFit="1" customWidth="1"/>
    <col min="358" max="358" width="9" bestFit="1" customWidth="1"/>
    <col min="359" max="359" width="11.77734375" bestFit="1" customWidth="1"/>
    <col min="360" max="360" width="9" bestFit="1" customWidth="1"/>
    <col min="361" max="361" width="11.77734375" bestFit="1" customWidth="1"/>
    <col min="362" max="362" width="9" bestFit="1" customWidth="1"/>
    <col min="363" max="363" width="11.77734375" bestFit="1" customWidth="1"/>
    <col min="364" max="364" width="9" bestFit="1" customWidth="1"/>
    <col min="365" max="365" width="11.77734375" bestFit="1" customWidth="1"/>
    <col min="366" max="366" width="9" bestFit="1" customWidth="1"/>
    <col min="367" max="367" width="11.77734375" bestFit="1" customWidth="1"/>
    <col min="368" max="368" width="9" bestFit="1" customWidth="1"/>
    <col min="369" max="369" width="11.77734375" bestFit="1" customWidth="1"/>
    <col min="370" max="370" width="9" bestFit="1" customWidth="1"/>
    <col min="371" max="371" width="11.77734375" bestFit="1" customWidth="1"/>
    <col min="372" max="372" width="9" bestFit="1" customWidth="1"/>
    <col min="373" max="373" width="11.77734375" bestFit="1" customWidth="1"/>
    <col min="374" max="374" width="9" bestFit="1" customWidth="1"/>
    <col min="375" max="375" width="11.77734375" bestFit="1" customWidth="1"/>
    <col min="376" max="376" width="9" bestFit="1" customWidth="1"/>
    <col min="377" max="377" width="11.77734375" bestFit="1" customWidth="1"/>
    <col min="378" max="378" width="9" bestFit="1" customWidth="1"/>
    <col min="379" max="379" width="11.77734375" bestFit="1" customWidth="1"/>
    <col min="380" max="380" width="9" bestFit="1" customWidth="1"/>
    <col min="381" max="381" width="11.77734375" bestFit="1" customWidth="1"/>
    <col min="382" max="382" width="9" bestFit="1" customWidth="1"/>
    <col min="383" max="383" width="11.77734375" bestFit="1" customWidth="1"/>
    <col min="384" max="384" width="9" bestFit="1" customWidth="1"/>
    <col min="385" max="385" width="11.77734375" bestFit="1" customWidth="1"/>
    <col min="386" max="386" width="9" bestFit="1" customWidth="1"/>
    <col min="387" max="387" width="11.77734375" bestFit="1" customWidth="1"/>
    <col min="388" max="388" width="9" bestFit="1" customWidth="1"/>
    <col min="389" max="389" width="11.77734375" bestFit="1" customWidth="1"/>
    <col min="390" max="390" width="8" bestFit="1" customWidth="1"/>
    <col min="391" max="391" width="10.6640625" bestFit="1" customWidth="1"/>
    <col min="392" max="392" width="9" bestFit="1" customWidth="1"/>
    <col min="393" max="393" width="11.77734375" bestFit="1" customWidth="1"/>
    <col min="394" max="394" width="9" bestFit="1" customWidth="1"/>
    <col min="395" max="395" width="11.77734375" bestFit="1" customWidth="1"/>
    <col min="396" max="396" width="9" bestFit="1" customWidth="1"/>
    <col min="397" max="397" width="11.77734375" bestFit="1" customWidth="1"/>
    <col min="398" max="398" width="9" bestFit="1" customWidth="1"/>
    <col min="399" max="399" width="11.77734375" bestFit="1" customWidth="1"/>
    <col min="400" max="400" width="9" bestFit="1" customWidth="1"/>
    <col min="401" max="401" width="11.77734375" bestFit="1" customWidth="1"/>
    <col min="402" max="402" width="9" bestFit="1" customWidth="1"/>
    <col min="403" max="403" width="11.77734375" bestFit="1" customWidth="1"/>
    <col min="404" max="404" width="9" bestFit="1" customWidth="1"/>
    <col min="405" max="405" width="11.77734375" bestFit="1" customWidth="1"/>
    <col min="406" max="406" width="9" bestFit="1" customWidth="1"/>
    <col min="407" max="407" width="11.77734375" bestFit="1" customWidth="1"/>
    <col min="408" max="408" width="9" bestFit="1" customWidth="1"/>
    <col min="409" max="409" width="11.77734375" bestFit="1" customWidth="1"/>
    <col min="410" max="410" width="9" bestFit="1" customWidth="1"/>
    <col min="411" max="411" width="8.33203125" bestFit="1" customWidth="1"/>
    <col min="412" max="412" width="11.77734375" bestFit="1" customWidth="1"/>
    <col min="413" max="413" width="9" bestFit="1" customWidth="1"/>
    <col min="414" max="414" width="11.77734375" bestFit="1" customWidth="1"/>
    <col min="415" max="415" width="9" bestFit="1" customWidth="1"/>
    <col min="416" max="416" width="11.77734375" bestFit="1" customWidth="1"/>
    <col min="417" max="417" width="9" bestFit="1" customWidth="1"/>
    <col min="418" max="418" width="11.77734375" bestFit="1" customWidth="1"/>
    <col min="419" max="419" width="9" bestFit="1" customWidth="1"/>
    <col min="420" max="420" width="11.77734375" bestFit="1" customWidth="1"/>
    <col min="421" max="421" width="9" bestFit="1" customWidth="1"/>
    <col min="422" max="422" width="11.77734375" bestFit="1" customWidth="1"/>
    <col min="423" max="423" width="9" bestFit="1" customWidth="1"/>
    <col min="424" max="424" width="11.77734375" bestFit="1" customWidth="1"/>
    <col min="425" max="425" width="9" bestFit="1" customWidth="1"/>
    <col min="426" max="426" width="11.77734375" bestFit="1" customWidth="1"/>
    <col min="427" max="427" width="9" bestFit="1" customWidth="1"/>
    <col min="428" max="428" width="11.77734375" bestFit="1" customWidth="1"/>
    <col min="429" max="429" width="9" bestFit="1" customWidth="1"/>
    <col min="430" max="430" width="11.77734375" bestFit="1" customWidth="1"/>
    <col min="431" max="431" width="9" bestFit="1" customWidth="1"/>
    <col min="432" max="432" width="11.77734375" bestFit="1" customWidth="1"/>
    <col min="433" max="433" width="9" bestFit="1" customWidth="1"/>
    <col min="434" max="434" width="11.77734375" bestFit="1" customWidth="1"/>
    <col min="435" max="435" width="9" bestFit="1" customWidth="1"/>
    <col min="436" max="436" width="11.77734375" bestFit="1" customWidth="1"/>
    <col min="437" max="437" width="9" bestFit="1" customWidth="1"/>
    <col min="438" max="438" width="11.77734375" bestFit="1" customWidth="1"/>
    <col min="439" max="439" width="9" bestFit="1" customWidth="1"/>
    <col min="440" max="440" width="11.77734375" bestFit="1" customWidth="1"/>
    <col min="441" max="441" width="9" bestFit="1" customWidth="1"/>
    <col min="442" max="442" width="11.77734375" bestFit="1" customWidth="1"/>
    <col min="443" max="443" width="8" bestFit="1" customWidth="1"/>
    <col min="444" max="444" width="10.6640625" bestFit="1" customWidth="1"/>
    <col min="445" max="445" width="8.33203125" bestFit="1" customWidth="1"/>
    <col min="446" max="446" width="10.6640625" bestFit="1" customWidth="1"/>
    <col min="447" max="447" width="9" bestFit="1" customWidth="1"/>
    <col min="448" max="448" width="11.77734375" bestFit="1" customWidth="1"/>
    <col min="449" max="449" width="9" bestFit="1" customWidth="1"/>
    <col min="450" max="450" width="11.77734375" bestFit="1" customWidth="1"/>
    <col min="451" max="451" width="9" bestFit="1" customWidth="1"/>
    <col min="452" max="452" width="11.77734375" bestFit="1" customWidth="1"/>
    <col min="453" max="453" width="9" bestFit="1" customWidth="1"/>
    <col min="454" max="454" width="11.77734375" bestFit="1" customWidth="1"/>
    <col min="455" max="455" width="9" bestFit="1" customWidth="1"/>
    <col min="456" max="456" width="11.77734375" bestFit="1" customWidth="1"/>
    <col min="457" max="457" width="9" bestFit="1" customWidth="1"/>
    <col min="458" max="458" width="11.77734375" bestFit="1" customWidth="1"/>
    <col min="459" max="459" width="9" bestFit="1" customWidth="1"/>
    <col min="460" max="460" width="11.77734375" bestFit="1" customWidth="1"/>
    <col min="461" max="461" width="9" bestFit="1" customWidth="1"/>
    <col min="462" max="462" width="11.77734375" bestFit="1" customWidth="1"/>
    <col min="463" max="463" width="9" bestFit="1" customWidth="1"/>
    <col min="464" max="464" width="11.77734375" bestFit="1" customWidth="1"/>
    <col min="465" max="465" width="9" bestFit="1" customWidth="1"/>
    <col min="466" max="466" width="11.77734375" bestFit="1" customWidth="1"/>
    <col min="467" max="467" width="8" bestFit="1" customWidth="1"/>
    <col min="468" max="468" width="10.6640625" bestFit="1" customWidth="1"/>
    <col min="469" max="469" width="9" bestFit="1" customWidth="1"/>
    <col min="470" max="470" width="11.77734375" bestFit="1" customWidth="1"/>
    <col min="471" max="471" width="9" bestFit="1" customWidth="1"/>
    <col min="472" max="472" width="11.77734375" bestFit="1" customWidth="1"/>
    <col min="473" max="473" width="9" bestFit="1" customWidth="1"/>
    <col min="474" max="474" width="11.77734375" bestFit="1" customWidth="1"/>
    <col min="475" max="475" width="9" bestFit="1" customWidth="1"/>
    <col min="476" max="476" width="11.77734375" bestFit="1" customWidth="1"/>
    <col min="477" max="477" width="7" bestFit="1" customWidth="1"/>
    <col min="478" max="478" width="9.6640625" bestFit="1" customWidth="1"/>
    <col min="479" max="479" width="9" bestFit="1" customWidth="1"/>
    <col min="480" max="480" width="11.77734375" bestFit="1" customWidth="1"/>
    <col min="481" max="481" width="9" bestFit="1" customWidth="1"/>
    <col min="482" max="482" width="11.77734375" bestFit="1" customWidth="1"/>
    <col min="483" max="483" width="9" bestFit="1" customWidth="1"/>
    <col min="484" max="484" width="11.77734375" bestFit="1" customWidth="1"/>
    <col min="485" max="485" width="9" bestFit="1" customWidth="1"/>
    <col min="486" max="486" width="11.77734375" bestFit="1" customWidth="1"/>
    <col min="487" max="487" width="9" bestFit="1" customWidth="1"/>
    <col min="488" max="488" width="11.77734375" bestFit="1" customWidth="1"/>
    <col min="489" max="489" width="9" bestFit="1" customWidth="1"/>
    <col min="490" max="490" width="11.77734375" bestFit="1" customWidth="1"/>
    <col min="491" max="491" width="9" bestFit="1" customWidth="1"/>
    <col min="492" max="492" width="11.77734375" bestFit="1" customWidth="1"/>
    <col min="493" max="493" width="9" bestFit="1" customWidth="1"/>
    <col min="494" max="494" width="11.77734375" bestFit="1" customWidth="1"/>
    <col min="495" max="495" width="9" bestFit="1" customWidth="1"/>
    <col min="496" max="496" width="11.77734375" bestFit="1" customWidth="1"/>
    <col min="497" max="497" width="9" bestFit="1" customWidth="1"/>
    <col min="498" max="498" width="11.77734375" bestFit="1" customWidth="1"/>
    <col min="499" max="499" width="9" bestFit="1" customWidth="1"/>
    <col min="500" max="500" width="11.77734375" bestFit="1" customWidth="1"/>
    <col min="501" max="501" width="9" bestFit="1" customWidth="1"/>
    <col min="502" max="502" width="11.77734375" bestFit="1" customWidth="1"/>
    <col min="503" max="503" width="9" bestFit="1" customWidth="1"/>
    <col min="504" max="504" width="11.77734375" bestFit="1" customWidth="1"/>
    <col min="505" max="505" width="9" bestFit="1" customWidth="1"/>
    <col min="506" max="506" width="11.77734375" bestFit="1" customWidth="1"/>
    <col min="507" max="507" width="9" bestFit="1" customWidth="1"/>
    <col min="508" max="508" width="11.77734375" bestFit="1" customWidth="1"/>
    <col min="509" max="509" width="9" bestFit="1" customWidth="1"/>
    <col min="510" max="510" width="11.77734375" bestFit="1" customWidth="1"/>
    <col min="511" max="511" width="9" bestFit="1" customWidth="1"/>
    <col min="512" max="512" width="11.77734375" bestFit="1" customWidth="1"/>
    <col min="513" max="513" width="9" bestFit="1" customWidth="1"/>
    <col min="514" max="514" width="11.77734375" bestFit="1" customWidth="1"/>
    <col min="515" max="515" width="10" bestFit="1" customWidth="1"/>
    <col min="516" max="516" width="12.77734375" bestFit="1" customWidth="1"/>
    <col min="517" max="517" width="10" bestFit="1" customWidth="1"/>
    <col min="518" max="518" width="12.77734375" bestFit="1" customWidth="1"/>
    <col min="519" max="519" width="10" bestFit="1" customWidth="1"/>
    <col min="520" max="520" width="12.77734375" bestFit="1" customWidth="1"/>
    <col min="521" max="521" width="10" bestFit="1" customWidth="1"/>
    <col min="522" max="522" width="12.77734375" bestFit="1" customWidth="1"/>
    <col min="523" max="523" width="10" bestFit="1" customWidth="1"/>
    <col min="524" max="524" width="12.77734375" bestFit="1" customWidth="1"/>
    <col min="525" max="525" width="10" bestFit="1" customWidth="1"/>
    <col min="526" max="526" width="12.77734375" bestFit="1" customWidth="1"/>
    <col min="527" max="527" width="10" bestFit="1" customWidth="1"/>
    <col min="528" max="528" width="12.77734375" bestFit="1" customWidth="1"/>
    <col min="529" max="529" width="10" bestFit="1" customWidth="1"/>
    <col min="530" max="530" width="12.77734375" bestFit="1" customWidth="1"/>
    <col min="531" max="531" width="10" bestFit="1" customWidth="1"/>
    <col min="532" max="532" width="12.77734375" bestFit="1" customWidth="1"/>
    <col min="533" max="533" width="10" bestFit="1" customWidth="1"/>
    <col min="534" max="534" width="12.77734375" bestFit="1" customWidth="1"/>
    <col min="535" max="535" width="10" bestFit="1" customWidth="1"/>
    <col min="536" max="536" width="12.77734375" bestFit="1" customWidth="1"/>
    <col min="537" max="537" width="10" bestFit="1" customWidth="1"/>
    <col min="538" max="538" width="12.77734375" bestFit="1" customWidth="1"/>
    <col min="539" max="539" width="10" bestFit="1" customWidth="1"/>
    <col min="540" max="540" width="12.77734375" bestFit="1" customWidth="1"/>
    <col min="541" max="541" width="10" bestFit="1" customWidth="1"/>
    <col min="542" max="542" width="12.77734375" bestFit="1" customWidth="1"/>
    <col min="543" max="543" width="10" bestFit="1" customWidth="1"/>
    <col min="544" max="544" width="12.77734375" bestFit="1" customWidth="1"/>
    <col min="545" max="545" width="10" bestFit="1" customWidth="1"/>
    <col min="546" max="546" width="12.77734375" bestFit="1" customWidth="1"/>
    <col min="547" max="547" width="10" bestFit="1" customWidth="1"/>
    <col min="548" max="548" width="12.77734375" bestFit="1" customWidth="1"/>
    <col min="549" max="549" width="10" bestFit="1" customWidth="1"/>
    <col min="550" max="550" width="12.77734375" bestFit="1" customWidth="1"/>
    <col min="551" max="551" width="10" bestFit="1" customWidth="1"/>
    <col min="552" max="552" width="12.77734375" bestFit="1" customWidth="1"/>
    <col min="553" max="553" width="10" bestFit="1" customWidth="1"/>
    <col min="554" max="554" width="12.77734375" bestFit="1" customWidth="1"/>
    <col min="555" max="555" width="11.44140625" bestFit="1" customWidth="1"/>
  </cols>
  <sheetData>
    <row r="1" spans="1:2" x14ac:dyDescent="0.3">
      <c r="A1" t="s">
        <v>34</v>
      </c>
      <c r="B1">
        <f>COUNTA(RaceData[Lap])</f>
        <v>285</v>
      </c>
    </row>
    <row r="3" spans="1:2" x14ac:dyDescent="0.3">
      <c r="A3" t="s">
        <v>35</v>
      </c>
      <c r="B3" t="s">
        <v>36</v>
      </c>
    </row>
    <row r="4" spans="1:2" x14ac:dyDescent="0.3">
      <c r="A4" t="s">
        <v>14</v>
      </c>
      <c r="B4">
        <f>COUNTIF(RaceData[Driver_Code], A4)</f>
        <v>57</v>
      </c>
    </row>
    <row r="5" spans="1:2" x14ac:dyDescent="0.3">
      <c r="A5" t="s">
        <v>19</v>
      </c>
      <c r="B5">
        <f>COUNTIF(RaceData[Driver_Code], A5)</f>
        <v>57</v>
      </c>
    </row>
    <row r="6" spans="1:2" x14ac:dyDescent="0.3">
      <c r="A6" t="s">
        <v>23</v>
      </c>
      <c r="B6">
        <f>COUNTIF(RaceData[Driver_Code], A6)</f>
        <v>57</v>
      </c>
    </row>
    <row r="7" spans="1:2" x14ac:dyDescent="0.3">
      <c r="A7" t="s">
        <v>26</v>
      </c>
      <c r="B7">
        <f>COUNTIF(RaceData[Driver_Code], A7)</f>
        <v>57</v>
      </c>
    </row>
    <row r="8" spans="1:2" x14ac:dyDescent="0.3">
      <c r="A8" t="s">
        <v>29</v>
      </c>
      <c r="B8">
        <f>COUNTIF(RaceData[Driver_Code], A8)</f>
        <v>57</v>
      </c>
    </row>
    <row r="10" spans="1:2" x14ac:dyDescent="0.3">
      <c r="A10" t="s">
        <v>35</v>
      </c>
      <c r="B10" t="s">
        <v>38</v>
      </c>
    </row>
    <row r="11" spans="1:2" x14ac:dyDescent="0.3">
      <c r="A11" t="s">
        <v>14</v>
      </c>
      <c r="B11">
        <f>_xlfn.MINIFS(RaceData[Pit_Stop_Duration_s], RaceData[Driver_Code], A11, RaceData[Is_Pit_Lap],"YES" )</f>
        <v>2.6</v>
      </c>
    </row>
    <row r="12" spans="1:2" x14ac:dyDescent="0.3">
      <c r="A12" t="s">
        <v>19</v>
      </c>
      <c r="B12">
        <f>_xlfn.MINIFS(RaceData[Pit_Stop_Duration_s], RaceData[Driver_Code], A12, RaceData[Is_Pit_Lap],"YES" )</f>
        <v>2.9</v>
      </c>
    </row>
    <row r="13" spans="1:2" x14ac:dyDescent="0.3">
      <c r="A13" t="s">
        <v>23</v>
      </c>
      <c r="B13">
        <f>_xlfn.MINIFS(RaceData[Pit_Stop_Duration_s], RaceData[Driver_Code], A13, RaceData[Is_Pit_Lap],"YES" )</f>
        <v>2.7</v>
      </c>
    </row>
    <row r="14" spans="1:2" x14ac:dyDescent="0.3">
      <c r="A14" t="s">
        <v>26</v>
      </c>
      <c r="B14">
        <f>_xlfn.MINIFS(RaceData[Pit_Stop_Duration_s], RaceData[Driver_Code], A14, RaceData[Is_Pit_Lap],"YES" )</f>
        <v>2.6</v>
      </c>
    </row>
    <row r="15" spans="1:2" x14ac:dyDescent="0.3">
      <c r="A15" t="s">
        <v>29</v>
      </c>
      <c r="B15">
        <f>_xlfn.MINIFS(RaceData[Pit_Stop_Duration_s], RaceData[Driver_Code], A15, RaceData[Is_Pit_Lap],"YES" )</f>
        <v>3.1</v>
      </c>
    </row>
    <row r="17" spans="1:7" x14ac:dyDescent="0.3">
      <c r="A17" t="s">
        <v>35</v>
      </c>
      <c r="B17" t="s">
        <v>39</v>
      </c>
      <c r="C17" t="s">
        <v>40</v>
      </c>
      <c r="D17" t="s">
        <v>41</v>
      </c>
      <c r="E17" t="s">
        <v>42</v>
      </c>
      <c r="F17" t="s">
        <v>43</v>
      </c>
      <c r="G17" t="s">
        <v>44</v>
      </c>
    </row>
    <row r="18" spans="1:7" x14ac:dyDescent="0.3">
      <c r="A18" t="s">
        <v>14</v>
      </c>
      <c r="B18" s="1">
        <f>AVERAGEIFS(RaceData[Lap_Time_s], RaceData[Driver_Code], A18, RaceData[Is_Pit_Lap], "NO")</f>
        <v>94.886545454545455</v>
      </c>
      <c r="C18">
        <f>_xlfn.MINIFS(RaceData[Lap_Time_s], RaceData[Driver_Code], A18, RaceData[Is_Pit_Lap], "NO")</f>
        <v>92.878</v>
      </c>
      <c r="D18">
        <f t="array" ref="D18">INDEX(RaceData[Lap], MATCH(C18, IF(RaceData[Driver_Code]=A18, RaceData[Lap_Time_s]), 0))</f>
        <v>2</v>
      </c>
      <c r="E18">
        <f>_xlfn.MAXIFS(RaceData[Lap_Time_s], RaceData[Driver_Code], A18, RaceData[Is_Pit_Lap], "NO", RaceData[Lap],"&gt;"&amp;1)</f>
        <v>102.221</v>
      </c>
      <c r="F18" cm="1">
        <f t="array" ref="F18">STDEV(IF((RaceData[Driver_Code]=A18)*(RaceData[Is_Pit_Lap]="NO"), RaceData[Lap_Time_s]))</f>
        <v>1.7054415613535161</v>
      </c>
      <c r="G18">
        <f>RANK(B18,B$18:B$22,1)</f>
        <v>1</v>
      </c>
    </row>
    <row r="19" spans="1:7" x14ac:dyDescent="0.3">
      <c r="A19" t="s">
        <v>19</v>
      </c>
      <c r="B19" s="1">
        <f>AVERAGEIFS(RaceData[Lap_Time_s], RaceData[Driver_Code], A19, RaceData[Is_Pit_Lap], "NO")</f>
        <v>96.07052727272729</v>
      </c>
      <c r="C19">
        <f>_xlfn.MINIFS(RaceData[Lap_Time_s], RaceData[Driver_Code], A19, RaceData[Is_Pit_Lap], "NO")</f>
        <v>94.662000000000006</v>
      </c>
      <c r="D19">
        <f t="array" ref="D19">INDEX(RaceData[Lap], MATCH(C19, IF(RaceData[Driver_Code]=A19, RaceData[Lap_Time_s]), 0))</f>
        <v>45</v>
      </c>
      <c r="E19">
        <f>_xlfn.MAXIFS(RaceData[Lap_Time_s], RaceData[Driver_Code], A19, RaceData[Is_Pit_Lap], "NO", RaceData[Lap],"&gt;"&amp;1)</f>
        <v>103.895</v>
      </c>
      <c r="F19" cm="1">
        <f t="array" ref="F19">STDEV(IF((RaceData[Driver_Code]=A19)*(RaceData[Is_Pit_Lap]="NO"), RaceData[Lap_Time_s]))</f>
        <v>1.6831914005570168</v>
      </c>
      <c r="G19">
        <f>RANK(B19,B$18:B$22,1)</f>
        <v>4</v>
      </c>
    </row>
    <row r="20" spans="1:7" x14ac:dyDescent="0.3">
      <c r="A20" t="s">
        <v>23</v>
      </c>
      <c r="B20" s="1">
        <f>AVERAGEIFS(RaceData[Lap_Time_s], RaceData[Driver_Code], A20, RaceData[Is_Pit_Lap], "NO")</f>
        <v>95.92947272727271</v>
      </c>
      <c r="C20">
        <f>_xlfn.MINIFS(RaceData[Lap_Time_s], RaceData[Driver_Code], A20, RaceData[Is_Pit_Lap], "NO")</f>
        <v>93.537999999999997</v>
      </c>
      <c r="D20">
        <f t="array" ref="D20">INDEX(RaceData[Lap], MATCH(C20, IF(RaceData[Driver_Code]=A20, RaceData[Lap_Time_s]), 0))</f>
        <v>2</v>
      </c>
      <c r="E20">
        <f>_xlfn.MAXIFS(RaceData[Lap_Time_s], RaceData[Driver_Code], A20, RaceData[Is_Pit_Lap], "NO", RaceData[Lap],"&gt;"&amp;1)</f>
        <v>103.134</v>
      </c>
      <c r="F20" cm="1">
        <f t="array" ref="F20">STDEV(IF((RaceData[Driver_Code]=A20)*(RaceData[Is_Pit_Lap]="NO"), RaceData[Lap_Time_s]))</f>
        <v>1.7012167742916569</v>
      </c>
      <c r="G20">
        <f>RANK(B20,B$18:B$22,1)</f>
        <v>3</v>
      </c>
    </row>
    <row r="21" spans="1:7" x14ac:dyDescent="0.3">
      <c r="A21" t="s">
        <v>26</v>
      </c>
      <c r="B21" s="1">
        <f>AVERAGEIFS(RaceData[Lap_Time_s], RaceData[Driver_Code], A21, RaceData[Is_Pit_Lap], "NO")</f>
        <v>95.851763636363629</v>
      </c>
      <c r="C21">
        <f>_xlfn.MINIFS(RaceData[Lap_Time_s], RaceData[Driver_Code], A21, RaceData[Is_Pit_Lap], "NO")</f>
        <v>93.731999999999999</v>
      </c>
      <c r="D21">
        <f t="array" ref="D21">INDEX(RaceData[Lap], MATCH(C21, IF(RaceData[Driver_Code]=A21, RaceData[Lap_Time_s]), 0))</f>
        <v>4</v>
      </c>
      <c r="E21">
        <f>_xlfn.MAXIFS(RaceData[Lap_Time_s], RaceData[Driver_Code], A21, RaceData[Is_Pit_Lap], "NO", RaceData[Lap],"&gt;"&amp;1)</f>
        <v>103.21299999999999</v>
      </c>
      <c r="F21" cm="1">
        <f t="array" ref="F21">STDEV(IF((RaceData[Driver_Code]=A21)*(RaceData[Is_Pit_Lap]="NO"), RaceData[Lap_Time_s]))</f>
        <v>1.6663850646949463</v>
      </c>
      <c r="G21">
        <f>RANK(B21,B$18:B$22,1)</f>
        <v>2</v>
      </c>
    </row>
    <row r="22" spans="1:7" x14ac:dyDescent="0.3">
      <c r="A22" t="s">
        <v>29</v>
      </c>
      <c r="B22" s="1">
        <f>AVERAGEIFS(RaceData[Lap_Time_s], RaceData[Driver_Code], A22, RaceData[Is_Pit_Lap], "NO")</f>
        <v>96.262600000000006</v>
      </c>
      <c r="C22">
        <f>_xlfn.MINIFS(RaceData[Lap_Time_s], RaceData[Driver_Code], A22, RaceData[Is_Pit_Lap], "NO")</f>
        <v>93.974000000000004</v>
      </c>
      <c r="D22">
        <f t="array" ref="D22">INDEX(RaceData[Lap], MATCH(C22, IF(RaceData[Driver_Code]=A22, RaceData[Lap_Time_s]), 0))</f>
        <v>26</v>
      </c>
      <c r="E22">
        <f>_xlfn.MAXIFS(RaceData[Lap_Time_s], RaceData[Driver_Code], A22, RaceData[Is_Pit_Lap], "NO", RaceData[Lap],"&gt;"&amp;1)</f>
        <v>104.741</v>
      </c>
      <c r="F22" cm="1">
        <f t="array" ref="F22">STDEV(IF((RaceData[Driver_Code]=A22)*(RaceData[Is_Pit_Lap]="NO"), RaceData[Lap_Time_s]))</f>
        <v>1.9385358889101305</v>
      </c>
      <c r="G22">
        <f>RANK(B22,B$18:B$22,1)</f>
        <v>5</v>
      </c>
    </row>
    <row r="24" spans="1:7" x14ac:dyDescent="0.3">
      <c r="A24" t="s">
        <v>45</v>
      </c>
      <c r="B24">
        <f>MIN(RaceData[Lap_Time_s])</f>
        <v>92.878</v>
      </c>
    </row>
    <row r="25" spans="1:7" x14ac:dyDescent="0.3">
      <c r="A25" t="s">
        <v>46</v>
      </c>
      <c r="B25" t="str">
        <f>INDEX(RaceData[Driver_Code], MATCH(B24, RaceData[Lap_Time_s], 0))</f>
        <v>VER</v>
      </c>
    </row>
    <row r="26" spans="1:7" x14ac:dyDescent="0.3">
      <c r="A26" t="s">
        <v>47</v>
      </c>
      <c r="B26">
        <f>INDEX(RaceData[Lap], MATCH(B24, RaceData[Lap_Time_s], 0))</f>
        <v>2</v>
      </c>
    </row>
    <row r="30" spans="1:7" x14ac:dyDescent="0.3">
      <c r="A30" t="s">
        <v>35</v>
      </c>
      <c r="B30" t="s">
        <v>48</v>
      </c>
      <c r="C30" t="s">
        <v>49</v>
      </c>
      <c r="D30" t="s">
        <v>50</v>
      </c>
    </row>
    <row r="31" spans="1:7" x14ac:dyDescent="0.3">
      <c r="A31" t="s">
        <v>14</v>
      </c>
      <c r="B31">
        <f>AVERAGEIFS(RaceData[Lap_Time_s], RaceData[Driver_Code], A31, RaceData[Tyre_Compound], "Soft", RaceData[Is_Pit_Lap], "NO")</f>
        <v>94.773764705882357</v>
      </c>
      <c r="C31">
        <f>AVERAGEIFS(RaceData[Lap_Time_s], RaceData[Driver_Code], A31, RaceData[Tyre_Compound], "Medium", RaceData[Is_Pit_Lap], "NO")</f>
        <v>94.565761904761914</v>
      </c>
      <c r="D31">
        <f>AVERAGEIFS(RaceData[Lap_Time_s], RaceData[Driver_Code], A31, RaceData[Tyre_Compound], "Hard", RaceData[Is_Pit_Lap], "NO")</f>
        <v>95.395588235294113</v>
      </c>
    </row>
    <row r="32" spans="1:7" x14ac:dyDescent="0.3">
      <c r="A32" t="s">
        <v>19</v>
      </c>
      <c r="B32" t="str">
        <f>IFERROR(AVERAGEIFS(RaceData[Lap_Time_s], RaceData[Driver_Code], A32, RaceData[Tyre_Compound], "Soft", RaceData[Is_Pit_Lap], "NO"), "-")</f>
        <v>-</v>
      </c>
      <c r="C32">
        <f>AVERAGEIFS(RaceData[Lap_Time_s], RaceData[Driver_Code], A32, RaceData[Tyre_Compound], "Medium", RaceData[Is_Pit_Lap], "NO")</f>
        <v>95.95264705882353</v>
      </c>
      <c r="D32">
        <f>AVERAGEIFS(RaceData[Lap_Time_s], RaceData[Driver_Code], A32, RaceData[Tyre_Compound], "Hard", RaceData[Is_Pit_Lap], "NO")</f>
        <v>96.261380952380946</v>
      </c>
    </row>
    <row r="33" spans="1:4" x14ac:dyDescent="0.3">
      <c r="A33" t="s">
        <v>23</v>
      </c>
      <c r="B33">
        <f>AVERAGEIFS(RaceData[Lap_Time_s], RaceData[Driver_Code], A33, RaceData[Tyre_Compound], "Soft", RaceData[Is_Pit_Lap], "NO")</f>
        <v>95.670933333333338</v>
      </c>
      <c r="C33">
        <f>AVERAGEIFS(RaceData[Lap_Time_s], RaceData[Driver_Code], A33, RaceData[Tyre_Compound], "Medium", RaceData[Is_Pit_Lap], "NO")</f>
        <v>95.323866666666646</v>
      </c>
      <c r="D33">
        <f>AVERAGEIFS(RaceData[Lap_Time_s], RaceData[Driver_Code], A33, RaceData[Tyre_Compound], "Hard", RaceData[Is_Pit_Lap], "NO")</f>
        <v>96.447960000000009</v>
      </c>
    </row>
    <row r="34" spans="1:4" x14ac:dyDescent="0.3">
      <c r="A34" t="s">
        <v>26</v>
      </c>
      <c r="B34">
        <f>AVERAGEIFS(RaceData[Lap_Time_s], RaceData[Driver_Code], A34, RaceData[Tyre_Compound], "Soft", RaceData[Is_Pit_Lap], "NO")</f>
        <v>95.652263157894708</v>
      </c>
      <c r="C34">
        <f>AVERAGEIFS(RaceData[Lap_Time_s], RaceData[Driver_Code], A34, RaceData[Tyre_Compound], "Medium", RaceData[Is_Pit_Lap], "NO")</f>
        <v>95.501882352941166</v>
      </c>
      <c r="D34">
        <f>AVERAGEIFS(RaceData[Lap_Time_s], RaceData[Driver_Code], A34, RaceData[Tyre_Compound], "Hard", RaceData[Is_Pit_Lap], "NO")</f>
        <v>96.364315789473679</v>
      </c>
    </row>
    <row r="35" spans="1:4" x14ac:dyDescent="0.3">
      <c r="A35" t="s">
        <v>29</v>
      </c>
      <c r="B35">
        <f>AVERAGEIFS(RaceData[Lap_Time_s], RaceData[Driver_Code], A35, RaceData[Tyre_Compound], "Soft", RaceData[Is_Pit_Lap], "NO")</f>
        <v>94.65457142857143</v>
      </c>
      <c r="C35">
        <f>AVERAGEIFS(RaceData[Lap_Time_s], RaceData[Driver_Code], A35, RaceData[Tyre_Compound], "Medium", RaceData[Is_Pit_Lap], "NO")</f>
        <v>96.875958333333315</v>
      </c>
      <c r="D35">
        <f>AVERAGEIFS(RaceData[Lap_Time_s], RaceData[Driver_Code], A35, RaceData[Tyre_Compound], "Hard", RaceData[Is_Pit_Lap], "NO")</f>
        <v>96.720941176470589</v>
      </c>
    </row>
    <row r="38" spans="1:4" x14ac:dyDescent="0.3">
      <c r="A38" t="s">
        <v>35</v>
      </c>
      <c r="B38" t="s">
        <v>51</v>
      </c>
      <c r="C38" t="s">
        <v>52</v>
      </c>
      <c r="D38" t="s">
        <v>53</v>
      </c>
    </row>
    <row r="39" spans="1:4" x14ac:dyDescent="0.3">
      <c r="A39" t="s">
        <v>14</v>
      </c>
      <c r="B39">
        <v>0.128</v>
      </c>
      <c r="C39">
        <v>6.2E-2</v>
      </c>
      <c r="D39">
        <v>2.4E-2</v>
      </c>
    </row>
    <row r="40" spans="1:4" x14ac:dyDescent="0.3">
      <c r="A40" t="s">
        <v>19</v>
      </c>
      <c r="B40" t="s">
        <v>57</v>
      </c>
      <c r="C40">
        <v>6.4000000000000001E-2</v>
      </c>
      <c r="D40">
        <v>0.03</v>
      </c>
    </row>
    <row r="41" spans="1:4" x14ac:dyDescent="0.3">
      <c r="A41" t="s">
        <v>23</v>
      </c>
      <c r="B41">
        <v>0.25800000000000001</v>
      </c>
      <c r="C41">
        <v>5.1999999999999998E-2</v>
      </c>
      <c r="D41">
        <v>3.5999999999999997E-2</v>
      </c>
    </row>
    <row r="42" spans="1:4" x14ac:dyDescent="0.3">
      <c r="A42" t="s">
        <v>26</v>
      </c>
      <c r="B42">
        <v>0.11</v>
      </c>
      <c r="C42">
        <v>5.6000000000000001E-2</v>
      </c>
      <c r="D42">
        <v>1.9E-2</v>
      </c>
    </row>
    <row r="43" spans="1:4" x14ac:dyDescent="0.3">
      <c r="A43" t="s">
        <v>29</v>
      </c>
      <c r="B43">
        <v>9.6000000000000002E-2</v>
      </c>
      <c r="C43">
        <v>1.6E-2</v>
      </c>
      <c r="D43">
        <v>3.1E-2</v>
      </c>
    </row>
    <row r="55" spans="1:5" x14ac:dyDescent="0.3">
      <c r="A55" t="s">
        <v>35</v>
      </c>
      <c r="B55" t="s">
        <v>58</v>
      </c>
      <c r="C55" t="s">
        <v>59</v>
      </c>
      <c r="D55" t="s">
        <v>60</v>
      </c>
      <c r="E55" t="s">
        <v>61</v>
      </c>
    </row>
    <row r="56" spans="1:5" x14ac:dyDescent="0.3">
      <c r="A56" s="5" t="s">
        <v>23</v>
      </c>
      <c r="B56" s="2">
        <v>16</v>
      </c>
      <c r="C56" s="2">
        <v>2.7</v>
      </c>
      <c r="D56" s="2" t="s">
        <v>17</v>
      </c>
      <c r="E56" t="s">
        <v>33</v>
      </c>
    </row>
    <row r="57" spans="1:5" x14ac:dyDescent="0.3">
      <c r="A57" s="6" t="s">
        <v>14</v>
      </c>
      <c r="B57" s="3">
        <v>18</v>
      </c>
      <c r="C57" s="3">
        <v>2.6</v>
      </c>
      <c r="D57" s="3" t="s">
        <v>17</v>
      </c>
      <c r="E57" t="s">
        <v>22</v>
      </c>
    </row>
    <row r="58" spans="1:5" x14ac:dyDescent="0.3">
      <c r="A58" s="5" t="s">
        <v>26</v>
      </c>
      <c r="B58" s="2">
        <v>20</v>
      </c>
      <c r="C58" s="2">
        <v>3</v>
      </c>
      <c r="D58" s="2" t="s">
        <v>17</v>
      </c>
      <c r="E58" t="s">
        <v>22</v>
      </c>
    </row>
    <row r="59" spans="1:5" x14ac:dyDescent="0.3">
      <c r="A59" s="6" t="s">
        <v>19</v>
      </c>
      <c r="B59" s="3">
        <v>22</v>
      </c>
      <c r="C59" s="3">
        <v>3.1</v>
      </c>
      <c r="D59" s="3" t="s">
        <v>22</v>
      </c>
      <c r="E59" t="s">
        <v>33</v>
      </c>
    </row>
    <row r="60" spans="1:5" x14ac:dyDescent="0.3">
      <c r="A60" s="5" t="s">
        <v>29</v>
      </c>
      <c r="B60" s="2">
        <v>25</v>
      </c>
      <c r="C60" s="2">
        <v>3.8</v>
      </c>
      <c r="D60" s="2" t="s">
        <v>22</v>
      </c>
      <c r="E60" t="s">
        <v>17</v>
      </c>
    </row>
    <row r="61" spans="1:5" x14ac:dyDescent="0.3">
      <c r="A61" s="6" t="s">
        <v>26</v>
      </c>
      <c r="B61" s="3">
        <v>38</v>
      </c>
      <c r="C61" s="3">
        <v>2.6</v>
      </c>
      <c r="D61" s="3" t="s">
        <v>22</v>
      </c>
      <c r="E61" t="s">
        <v>33</v>
      </c>
    </row>
    <row r="62" spans="1:5" x14ac:dyDescent="0.3">
      <c r="A62" s="5" t="s">
        <v>14</v>
      </c>
      <c r="B62" s="2">
        <v>40</v>
      </c>
      <c r="C62" s="2">
        <v>2.8</v>
      </c>
      <c r="D62" s="2" t="s">
        <v>22</v>
      </c>
      <c r="E62" t="s">
        <v>33</v>
      </c>
    </row>
    <row r="63" spans="1:5" x14ac:dyDescent="0.3">
      <c r="A63" s="6" t="s">
        <v>29</v>
      </c>
      <c r="B63" s="3">
        <v>40</v>
      </c>
      <c r="C63" s="3">
        <v>3.1</v>
      </c>
      <c r="D63" s="3" t="s">
        <v>17</v>
      </c>
      <c r="E63" t="s">
        <v>33</v>
      </c>
    </row>
    <row r="64" spans="1:5" x14ac:dyDescent="0.3">
      <c r="A64" s="5" t="s">
        <v>23</v>
      </c>
      <c r="B64" s="2">
        <v>42</v>
      </c>
      <c r="C64" s="2">
        <v>3.4</v>
      </c>
      <c r="D64" s="2" t="s">
        <v>33</v>
      </c>
      <c r="E64" t="s">
        <v>22</v>
      </c>
    </row>
    <row r="65" spans="1:6" x14ac:dyDescent="0.3">
      <c r="A65" s="6" t="s">
        <v>19</v>
      </c>
      <c r="B65" s="3">
        <v>44</v>
      </c>
      <c r="C65" s="3">
        <v>2.9</v>
      </c>
      <c r="D65" s="3" t="s">
        <v>33</v>
      </c>
      <c r="E65" t="s">
        <v>22</v>
      </c>
    </row>
    <row r="68" spans="1:6" x14ac:dyDescent="0.3">
      <c r="A68" t="s">
        <v>35</v>
      </c>
      <c r="B68" t="s">
        <v>62</v>
      </c>
    </row>
    <row r="69" spans="1:6" x14ac:dyDescent="0.3">
      <c r="A69" t="s">
        <v>14</v>
      </c>
      <c r="B69">
        <f>SUMIFS(RaceData[Pit_Stop_Duration_s], RaceData[Driver_Code],A69, RaceData[Is_Pit_Lap], "YES")</f>
        <v>5.4</v>
      </c>
    </row>
    <row r="70" spans="1:6" x14ac:dyDescent="0.3">
      <c r="A70" t="s">
        <v>19</v>
      </c>
      <c r="B70">
        <f>SUMIFS(RaceData[Pit_Stop_Duration_s], RaceData[Driver_Code],A70, RaceData[Is_Pit_Lap], "YES")</f>
        <v>6</v>
      </c>
    </row>
    <row r="71" spans="1:6" x14ac:dyDescent="0.3">
      <c r="A71" t="s">
        <v>23</v>
      </c>
      <c r="B71">
        <f>SUMIFS(RaceData[Pit_Stop_Duration_s], RaceData[Driver_Code],A71, RaceData[Is_Pit_Lap], "YES")</f>
        <v>6.1</v>
      </c>
    </row>
    <row r="72" spans="1:6" x14ac:dyDescent="0.3">
      <c r="A72" t="s">
        <v>26</v>
      </c>
      <c r="B72">
        <f>SUMIFS(RaceData[Pit_Stop_Duration_s], RaceData[Driver_Code],A72, RaceData[Is_Pit_Lap], "YES")</f>
        <v>5.6</v>
      </c>
    </row>
    <row r="73" spans="1:6" x14ac:dyDescent="0.3">
      <c r="A73" t="s">
        <v>29</v>
      </c>
      <c r="B73">
        <f>SUMIFS(RaceData[Pit_Stop_Duration_s], RaceData[Driver_Code],A73, RaceData[Is_Pit_Lap], "YES")</f>
        <v>6.9</v>
      </c>
    </row>
    <row r="75" spans="1:6" x14ac:dyDescent="0.3">
      <c r="A75" t="s">
        <v>63</v>
      </c>
      <c r="B75">
        <f>MIN(RaceData[Pit_Stop_Duration_s])</f>
        <v>2.6</v>
      </c>
    </row>
    <row r="76" spans="1:6" x14ac:dyDescent="0.3">
      <c r="A76" t="s">
        <v>35</v>
      </c>
      <c r="B76" t="str">
        <f>INDEX(RaceData[Driver_Code], MATCH(B75, RaceData[Pit_Stop_Duration_s],0))</f>
        <v>VER</v>
      </c>
    </row>
    <row r="77" spans="1:6" x14ac:dyDescent="0.3">
      <c r="A77" t="s">
        <v>47</v>
      </c>
      <c r="B77">
        <f>INDEX(RaceData[Lap], MATCH(B75, RaceData[Pit_Stop_Duration_s], 0))</f>
        <v>18</v>
      </c>
    </row>
    <row r="79" spans="1:6" x14ac:dyDescent="0.3">
      <c r="A79" t="s">
        <v>35</v>
      </c>
      <c r="B79" t="s">
        <v>58</v>
      </c>
      <c r="C79" t="s">
        <v>64</v>
      </c>
      <c r="D79" t="s">
        <v>65</v>
      </c>
      <c r="E79" s="1" t="s">
        <v>66</v>
      </c>
      <c r="F79" t="s">
        <v>67</v>
      </c>
    </row>
    <row r="80" spans="1:6" x14ac:dyDescent="0.3">
      <c r="A80" t="s">
        <v>23</v>
      </c>
      <c r="B80">
        <v>16</v>
      </c>
      <c r="C80" s="1">
        <f>AVERAGEIFS(RaceData[Lap_Time_s], RaceData[Driver_Code], A80, RaceData[Lap], "&gt;="&amp;(B80-3), RaceData[Lap], "&lt;"&amp;B80, RaceData[Is_Pit_Lap], "NO" )</f>
        <v>97.638666666666666</v>
      </c>
      <c r="D80" s="1">
        <f>AVERAGEIFS(RaceData[Lap_Time_s], RaceData[Driver_Code], A80, RaceData[Lap], "&gt;"&amp;B80, RaceData[Lap], "&lt;="&amp;(B80+3), RaceData[Is_Pit_Lap], "NO" )</f>
        <v>95.84666666666665</v>
      </c>
      <c r="E80" s="1">
        <f>D80-C80</f>
        <v>-1.7920000000000158</v>
      </c>
      <c r="F80" t="str">
        <f>IF(E80&lt;0, "YES - Pace Gained", "NO - No Gain")</f>
        <v>YES - Pace Gained</v>
      </c>
    </row>
    <row r="81" spans="1:7" x14ac:dyDescent="0.3">
      <c r="A81" t="s">
        <v>14</v>
      </c>
      <c r="B81">
        <v>18</v>
      </c>
      <c r="C81" s="1">
        <f>AVERAGEIFS(RaceData[Lap_Time_s], RaceData[Driver_Code], A81, RaceData[Lap], "&gt;="&amp;(B81-3), RaceData[Lap], "&lt;"&amp;B81, RaceData[Is_Pit_Lap], "NO" )</f>
        <v>94.128</v>
      </c>
      <c r="D81" s="1">
        <f>AVERAGEIFS(RaceData[Lap_Time_s], RaceData[Driver_Code], A81, RaceData[Lap], "&gt;"&amp;B81, RaceData[Lap], "&lt;="&amp;(B81+3), RaceData[Is_Pit_Lap], "NO" )</f>
        <v>94.030333333333331</v>
      </c>
      <c r="E81" s="1">
        <f t="shared" ref="E81:E89" si="0">D81-C81</f>
        <v>-9.7666666666668789E-2</v>
      </c>
      <c r="F81" t="str">
        <f t="shared" ref="F81:F88" si="1">IF(E81&lt;0, "YES - Pace Gained", "NO - No Gain")</f>
        <v>YES - Pace Gained</v>
      </c>
    </row>
    <row r="82" spans="1:7" x14ac:dyDescent="0.3">
      <c r="A82" t="s">
        <v>26</v>
      </c>
      <c r="B82">
        <v>20</v>
      </c>
      <c r="C82" s="1">
        <f>AVERAGEIFS(RaceData[Lap_Time_s], RaceData[Driver_Code], A82, RaceData[Lap], "&gt;="&amp;(B82-3), RaceData[Lap], "&lt;"&amp;B82, RaceData[Is_Pit_Lap], "NO" )</f>
        <v>95.321333333333328</v>
      </c>
      <c r="D82" s="1">
        <f>AVERAGEIFS(RaceData[Lap_Time_s], RaceData[Driver_Code], A82, RaceData[Lap], "&gt;"&amp;B82, RaceData[Lap], "&lt;="&amp;(B82+3), RaceData[Is_Pit_Lap], "NO" )</f>
        <v>95.082333333333338</v>
      </c>
      <c r="E82" s="1">
        <f t="shared" si="0"/>
        <v>-0.23899999999999011</v>
      </c>
      <c r="F82" t="str">
        <f t="shared" si="1"/>
        <v>YES - Pace Gained</v>
      </c>
    </row>
    <row r="83" spans="1:7" x14ac:dyDescent="0.3">
      <c r="A83" t="s">
        <v>19</v>
      </c>
      <c r="B83">
        <v>22</v>
      </c>
      <c r="C83" s="1">
        <f>AVERAGEIFS(RaceData[Lap_Time_s], RaceData[Driver_Code], A83, RaceData[Lap], "&gt;="&amp;(B83-3), RaceData[Lap], "&lt;"&amp;B83, RaceData[Is_Pit_Lap], "NO" )</f>
        <v>95.831333333333319</v>
      </c>
      <c r="D83" s="1">
        <f>AVERAGEIFS(RaceData[Lap_Time_s], RaceData[Driver_Code], A83, RaceData[Lap], "&gt;"&amp;B83, RaceData[Lap], "&lt;="&amp;(B83+3), RaceData[Is_Pit_Lap], "NO" )</f>
        <v>96.022999999999982</v>
      </c>
      <c r="E83" s="1">
        <f t="shared" si="0"/>
        <v>0.19166666666666288</v>
      </c>
      <c r="F83" t="str">
        <f t="shared" si="1"/>
        <v>NO - No Gain</v>
      </c>
    </row>
    <row r="84" spans="1:7" x14ac:dyDescent="0.3">
      <c r="A84" t="s">
        <v>29</v>
      </c>
      <c r="B84">
        <v>25</v>
      </c>
      <c r="C84" s="1">
        <f>AVERAGEIFS(RaceData[Lap_Time_s], RaceData[Driver_Code], A84, RaceData[Lap], "&gt;="&amp;(B84-3), RaceData[Lap], "&lt;"&amp;B84, RaceData[Is_Pit_Lap], "NO" )</f>
        <v>96.441666666666663</v>
      </c>
      <c r="D84" s="1">
        <f>AVERAGEIFS(RaceData[Lap_Time_s], RaceData[Driver_Code], A84, RaceData[Lap], "&gt;"&amp;B84, RaceData[Lap], "&lt;="&amp;(B84+3), RaceData[Is_Pit_Lap], "NO" )</f>
        <v>94.204999999999998</v>
      </c>
      <c r="E84" s="1">
        <f t="shared" si="0"/>
        <v>-2.2366666666666646</v>
      </c>
      <c r="F84" t="str">
        <f t="shared" si="1"/>
        <v>YES - Pace Gained</v>
      </c>
    </row>
    <row r="85" spans="1:7" x14ac:dyDescent="0.3">
      <c r="A85" t="s">
        <v>26</v>
      </c>
      <c r="B85">
        <v>38</v>
      </c>
      <c r="C85" s="1">
        <f>AVERAGEIFS(RaceData[Lap_Time_s], RaceData[Driver_Code], A85, RaceData[Lap], "&gt;="&amp;(B85-3), RaceData[Lap], "&lt;"&amp;B85, RaceData[Is_Pit_Lap], "NO" )</f>
        <v>95.86866666666667</v>
      </c>
      <c r="D85" s="1">
        <f>AVERAGEIFS(RaceData[Lap_Time_s], RaceData[Driver_Code], A85, RaceData[Lap], "&gt;"&amp;B85, RaceData[Lap], "&lt;="&amp;(B85+3), RaceData[Is_Pit_Lap], "NO" )</f>
        <v>96.197666666666649</v>
      </c>
      <c r="E85" s="1">
        <f t="shared" si="0"/>
        <v>0.32899999999997931</v>
      </c>
      <c r="F85" t="str">
        <f t="shared" si="1"/>
        <v>NO - No Gain</v>
      </c>
    </row>
    <row r="86" spans="1:7" x14ac:dyDescent="0.3">
      <c r="A86" t="s">
        <v>14</v>
      </c>
      <c r="B86">
        <v>40</v>
      </c>
      <c r="C86" s="1">
        <f>AVERAGEIFS(RaceData[Lap_Time_s], RaceData[Driver_Code], A86, RaceData[Lap], "&gt;="&amp;(B86-3), RaceData[Lap], "&lt;"&amp;B86, RaceData[Is_Pit_Lap], "NO" )</f>
        <v>95.175333333333313</v>
      </c>
      <c r="D86" s="1">
        <f>AVERAGEIFS(RaceData[Lap_Time_s], RaceData[Driver_Code], A86, RaceData[Lap], "&gt;"&amp;B86, RaceData[Lap], "&lt;="&amp;(B86+3), RaceData[Is_Pit_Lap], "NO" )</f>
        <v>95.116</v>
      </c>
      <c r="E86" s="1">
        <f t="shared" si="0"/>
        <v>-5.9333333333313476E-2</v>
      </c>
      <c r="F86" t="str">
        <f t="shared" si="1"/>
        <v>YES - Pace Gained</v>
      </c>
    </row>
    <row r="87" spans="1:7" x14ac:dyDescent="0.3">
      <c r="A87" t="s">
        <v>29</v>
      </c>
      <c r="B87">
        <v>40</v>
      </c>
      <c r="C87" s="1">
        <f>AVERAGEIFS(RaceData[Lap_Time_s], RaceData[Driver_Code], A87, RaceData[Lap], "&gt;="&amp;(B87-3), RaceData[Lap], "&lt;"&amp;B87, RaceData[Is_Pit_Lap], "NO" )</f>
        <v>95.197666666666649</v>
      </c>
      <c r="D87" s="1">
        <f>AVERAGEIFS(RaceData[Lap_Time_s], RaceData[Driver_Code], A87, RaceData[Lap], "&gt;"&amp;B87, RaceData[Lap], "&lt;="&amp;(B87+3), RaceData[Is_Pit_Lap], "NO" )</f>
        <v>96.5</v>
      </c>
      <c r="E87" s="1">
        <f t="shared" si="0"/>
        <v>1.3023333333333511</v>
      </c>
      <c r="F87" t="str">
        <f t="shared" si="1"/>
        <v>NO - No Gain</v>
      </c>
    </row>
    <row r="88" spans="1:7" x14ac:dyDescent="0.3">
      <c r="A88" t="s">
        <v>23</v>
      </c>
      <c r="B88">
        <v>42</v>
      </c>
      <c r="C88" s="1">
        <f>AVERAGEIFS(RaceData[Lap_Time_s], RaceData[Driver_Code], A88, RaceData[Lap], "&gt;="&amp;(B88-3), RaceData[Lap], "&lt;"&amp;B88, RaceData[Is_Pit_Lap], "NO" )</f>
        <v>96.75633333333333</v>
      </c>
      <c r="D88" s="1">
        <f>AVERAGEIFS(RaceData[Lap_Time_s], RaceData[Driver_Code], A88, RaceData[Lap], "&gt;"&amp;B88, RaceData[Lap], "&lt;="&amp;(B88+3), RaceData[Is_Pit_Lap], "NO" )</f>
        <v>95.161999999999992</v>
      </c>
      <c r="E88" s="1">
        <f t="shared" si="0"/>
        <v>-1.5943333333333385</v>
      </c>
      <c r="F88" t="str">
        <f t="shared" si="1"/>
        <v>YES - Pace Gained</v>
      </c>
    </row>
    <row r="89" spans="1:7" x14ac:dyDescent="0.3">
      <c r="A89" t="s">
        <v>19</v>
      </c>
      <c r="B89">
        <v>44</v>
      </c>
      <c r="C89" s="1">
        <f>AVERAGEIFS(RaceData[Lap_Time_s], RaceData[Driver_Code], A89, RaceData[Lap], "&gt;="&amp;(B89-3), RaceData[Lap], "&lt;"&amp;B89, RaceData[Is_Pit_Lap], "NO" )</f>
        <v>96.483999999999995</v>
      </c>
      <c r="D89" s="1">
        <f>AVERAGEIFS(RaceData[Lap_Time_s], RaceData[Driver_Code], A89, RaceData[Lap], "&gt;"&amp;B89, RaceData[Lap], "&lt;="&amp;(B89+3), RaceData[Is_Pit_Lap], "NO" )</f>
        <v>94.841999999999999</v>
      </c>
      <c r="E89" s="1">
        <f t="shared" si="0"/>
        <v>-1.6419999999999959</v>
      </c>
      <c r="F89" t="str">
        <f>IF(E89&lt;0, "YES - Pace Gained", "NO - No Gain")</f>
        <v>YES - Pace Gained</v>
      </c>
    </row>
    <row r="92" spans="1:7" x14ac:dyDescent="0.3">
      <c r="A92" t="s">
        <v>35</v>
      </c>
      <c r="B92" t="s">
        <v>68</v>
      </c>
      <c r="C92" t="s">
        <v>69</v>
      </c>
      <c r="D92" t="s">
        <v>70</v>
      </c>
      <c r="E92" t="s">
        <v>71</v>
      </c>
      <c r="F92" t="s">
        <v>72</v>
      </c>
      <c r="G92" t="s">
        <v>73</v>
      </c>
    </row>
    <row r="93" spans="1:7" x14ac:dyDescent="0.3">
      <c r="A93" t="s">
        <v>14</v>
      </c>
      <c r="B93">
        <f>_xlfn.MINIFS(RaceData[S1_Time_s],RaceData[Driver_Code], A93, RaceData[Is_Pit_Lap], "NO" )</f>
        <v>28.783999999999999</v>
      </c>
      <c r="C93">
        <f>_xlfn.MINIFS(RaceData[S2_Time_s],RaceData[Driver_Code], A93, RaceData[Is_Pit_Lap], "NO" )</f>
        <v>37.953000000000003</v>
      </c>
      <c r="D93">
        <f>_xlfn.MINIFS(RaceData[S3_Time_s],RaceData[Driver_Code], A93, RaceData[Is_Pit_Lap], "NO" )</f>
        <v>26.021999999999998</v>
      </c>
      <c r="E93">
        <f>B93+C93+D93</f>
        <v>92.758999999999986</v>
      </c>
      <c r="F93">
        <f>C18</f>
        <v>92.878</v>
      </c>
      <c r="G93">
        <f>F93-E93</f>
        <v>0.11900000000001398</v>
      </c>
    </row>
    <row r="94" spans="1:7" x14ac:dyDescent="0.3">
      <c r="A94" t="s">
        <v>19</v>
      </c>
      <c r="B94">
        <f>_xlfn.MINIFS(RaceData[S1_Time_s],RaceData[Driver_Code], A94, RaceData[Is_Pit_Lap], "NO" )</f>
        <v>29.291</v>
      </c>
      <c r="C94">
        <f>_xlfn.MINIFS(RaceData[S2_Time_s],RaceData[Driver_Code], A94, RaceData[Is_Pit_Lap], "NO" )</f>
        <v>38.783000000000001</v>
      </c>
      <c r="D94">
        <f>_xlfn.MINIFS(RaceData[S3_Time_s],RaceData[Driver_Code], A94, RaceData[Is_Pit_Lap], "NO" )</f>
        <v>26.317</v>
      </c>
      <c r="E94">
        <f t="shared" ref="E94:E97" si="2">B94+C94+D94</f>
        <v>94.390999999999991</v>
      </c>
      <c r="F94">
        <f>C19</f>
        <v>94.662000000000006</v>
      </c>
      <c r="G94">
        <f t="shared" ref="G94:G97" si="3">F94-E94</f>
        <v>0.27100000000001501</v>
      </c>
    </row>
    <row r="95" spans="1:7" x14ac:dyDescent="0.3">
      <c r="A95" t="s">
        <v>23</v>
      </c>
      <c r="B95">
        <f>_xlfn.MINIFS(RaceData[S1_Time_s],RaceData[Driver_Code], A95, RaceData[Is_Pit_Lap], "NO" )</f>
        <v>29.018000000000001</v>
      </c>
      <c r="C95">
        <f>_xlfn.MINIFS(RaceData[S2_Time_s],RaceData[Driver_Code], A95, RaceData[Is_Pit_Lap], "NO" )</f>
        <v>38.347000000000001</v>
      </c>
      <c r="D95">
        <f>_xlfn.MINIFS(RaceData[S3_Time_s],RaceData[Driver_Code], A95, RaceData[Is_Pit_Lap], "NO" )</f>
        <v>26.045000000000002</v>
      </c>
      <c r="E95">
        <f t="shared" si="2"/>
        <v>93.410000000000011</v>
      </c>
      <c r="F95">
        <f>C20</f>
        <v>93.537999999999997</v>
      </c>
      <c r="G95">
        <f t="shared" si="3"/>
        <v>0.1279999999999859</v>
      </c>
    </row>
    <row r="96" spans="1:7" x14ac:dyDescent="0.3">
      <c r="A96" t="s">
        <v>26</v>
      </c>
      <c r="B96">
        <f>_xlfn.MINIFS(RaceData[S1_Time_s],RaceData[Driver_Code], A96, RaceData[Is_Pit_Lap], "NO" )</f>
        <v>29.045000000000002</v>
      </c>
      <c r="C96">
        <f>_xlfn.MINIFS(RaceData[S2_Time_s],RaceData[Driver_Code], A96, RaceData[Is_Pit_Lap], "NO" )</f>
        <v>38.384</v>
      </c>
      <c r="D96">
        <f>_xlfn.MINIFS(RaceData[S3_Time_s],RaceData[Driver_Code], A96, RaceData[Is_Pit_Lap], "NO" )</f>
        <v>25.957000000000001</v>
      </c>
      <c r="E96">
        <f t="shared" si="2"/>
        <v>93.385999999999996</v>
      </c>
      <c r="F96">
        <f>C21</f>
        <v>93.731999999999999</v>
      </c>
      <c r="G96">
        <f t="shared" si="3"/>
        <v>0.34600000000000364</v>
      </c>
    </row>
    <row r="97" spans="1:7" x14ac:dyDescent="0.3">
      <c r="A97" t="s">
        <v>29</v>
      </c>
      <c r="B97">
        <f>_xlfn.MINIFS(RaceData[S1_Time_s],RaceData[Driver_Code], A97, RaceData[Is_Pit_Lap], "NO" )</f>
        <v>29.123999999999999</v>
      </c>
      <c r="C97">
        <f>_xlfn.MINIFS(RaceData[S2_Time_s],RaceData[Driver_Code], A97, RaceData[Is_Pit_Lap], "NO" )</f>
        <v>38.506999999999998</v>
      </c>
      <c r="D97">
        <f>_xlfn.MINIFS(RaceData[S3_Time_s],RaceData[Driver_Code], A97, RaceData[Is_Pit_Lap], "NO" )</f>
        <v>25.998999999999999</v>
      </c>
      <c r="E97">
        <f t="shared" si="2"/>
        <v>93.63</v>
      </c>
      <c r="F97">
        <f>C22</f>
        <v>93.974000000000004</v>
      </c>
      <c r="G97">
        <f t="shared" si="3"/>
        <v>0.3440000000000083</v>
      </c>
    </row>
    <row r="100" spans="1:7" x14ac:dyDescent="0.3">
      <c r="A100" t="s">
        <v>74</v>
      </c>
      <c r="B100" t="s">
        <v>75</v>
      </c>
      <c r="C100" t="s">
        <v>76</v>
      </c>
      <c r="D100" t="s">
        <v>77</v>
      </c>
    </row>
    <row r="101" spans="1:7" x14ac:dyDescent="0.3">
      <c r="A101" t="s">
        <v>78</v>
      </c>
      <c r="B101">
        <f>AVERAGEIFS(RaceData[S1_Time_s], RaceData[Tyre_Compound], "Soft", RaceData[Is_Pit_Lap], "NO")</f>
        <v>29.417846153846156</v>
      </c>
      <c r="C101">
        <f>AVERAGEIFS(RaceData[S2_Time_s], RaceData[Tyre_Compound], "Soft", RaceData[Is_Pit_Lap], "NO")</f>
        <v>38.82129230769231</v>
      </c>
      <c r="D101">
        <f>AVERAGEIFS(RaceData[S3_Time_s], RaceData[Tyre_Compound], "Soft", RaceData[Is_Pit_Lap], "NO")</f>
        <v>26.972830769230765</v>
      </c>
    </row>
    <row r="102" spans="1:7" x14ac:dyDescent="0.3">
      <c r="A102" t="s">
        <v>22</v>
      </c>
      <c r="B102">
        <f>AVERAGEIFS(RaceData[S1_Time_s], RaceData[Tyre_Compound], "Medium", RaceData[Is_Pit_Lap], "NO")</f>
        <v>29.535828828828826</v>
      </c>
      <c r="C102">
        <f>AVERAGEIFS(RaceData[S2_Time_s], RaceData[Tyre_Compound], "Medium", RaceData[Is_Pit_Lap], "NO")</f>
        <v>39.085963963963948</v>
      </c>
      <c r="D102">
        <f>AVERAGEIFS(RaceData[S3_Time_s], RaceData[Tyre_Compound], "Medium", RaceData[Is_Pit_Lap], "NO")</f>
        <v>27.114045045045053</v>
      </c>
    </row>
    <row r="103" spans="1:7" x14ac:dyDescent="0.3">
      <c r="A103" t="s">
        <v>33</v>
      </c>
      <c r="B103">
        <f>AVERAGEIFS(RaceData[S1_Time_s], RaceData[Tyre_Compound], "Hard", RaceData[Is_Pit_Lap], "NO")</f>
        <v>29.732939393939397</v>
      </c>
      <c r="C103">
        <f>AVERAGEIFS(RaceData[S2_Time_s], RaceData[Tyre_Compound], "Hard", RaceData[Is_Pit_Lap], "NO")</f>
        <v>39.329000000000001</v>
      </c>
      <c r="D103">
        <f>AVERAGEIFS(RaceData[S3_Time_s], RaceData[Tyre_Compound], "Hard", RaceData[Is_Pit_Lap], "NO")</f>
        <v>27.196484848484847</v>
      </c>
    </row>
    <row r="108" spans="1:7" x14ac:dyDescent="0.3">
      <c r="A108" s="7" t="s">
        <v>11</v>
      </c>
      <c r="B108" t="s">
        <v>18</v>
      </c>
    </row>
    <row r="110" spans="1:7" x14ac:dyDescent="0.3">
      <c r="A110" s="7" t="s">
        <v>82</v>
      </c>
      <c r="B110" s="7" t="s">
        <v>81</v>
      </c>
    </row>
    <row r="111" spans="1:7" x14ac:dyDescent="0.3">
      <c r="A111" s="7" t="s">
        <v>79</v>
      </c>
      <c r="B111" t="s">
        <v>33</v>
      </c>
      <c r="C111" t="s">
        <v>22</v>
      </c>
      <c r="D111" t="s">
        <v>17</v>
      </c>
      <c r="E111" t="s">
        <v>80</v>
      </c>
    </row>
    <row r="112" spans="1:7" x14ac:dyDescent="0.3">
      <c r="A112" s="8" t="s">
        <v>23</v>
      </c>
      <c r="B112">
        <v>96.447960000000009</v>
      </c>
      <c r="C112">
        <v>95.323866666666675</v>
      </c>
      <c r="D112">
        <v>95.670933333333338</v>
      </c>
      <c r="E112">
        <v>95.929472727272724</v>
      </c>
    </row>
    <row r="113" spans="1:5" x14ac:dyDescent="0.3">
      <c r="A113" s="8" t="s">
        <v>19</v>
      </c>
      <c r="B113">
        <v>96.261380952380946</v>
      </c>
      <c r="C113">
        <v>95.952647058823516</v>
      </c>
      <c r="E113">
        <v>96.07052727272729</v>
      </c>
    </row>
    <row r="114" spans="1:5" x14ac:dyDescent="0.3">
      <c r="A114" s="8" t="s">
        <v>26</v>
      </c>
      <c r="B114">
        <v>96.364315789473679</v>
      </c>
      <c r="C114">
        <v>95.501882352941166</v>
      </c>
      <c r="D114">
        <v>95.652263157894708</v>
      </c>
      <c r="E114">
        <v>95.851763636363629</v>
      </c>
    </row>
    <row r="115" spans="1:5" x14ac:dyDescent="0.3">
      <c r="A115" s="8" t="s">
        <v>29</v>
      </c>
      <c r="B115">
        <v>96.720941176470589</v>
      </c>
      <c r="C115">
        <v>96.875958333333315</v>
      </c>
      <c r="D115">
        <v>94.65457142857143</v>
      </c>
      <c r="E115">
        <v>96.262600000000006</v>
      </c>
    </row>
    <row r="116" spans="1:5" x14ac:dyDescent="0.3">
      <c r="A116" s="8" t="s">
        <v>14</v>
      </c>
      <c r="B116">
        <v>95.395588235294113</v>
      </c>
      <c r="C116">
        <v>94.565761904761914</v>
      </c>
      <c r="D116">
        <v>94.773764705882357</v>
      </c>
      <c r="E116">
        <v>94.88654545454547</v>
      </c>
    </row>
    <row r="117" spans="1:5" x14ac:dyDescent="0.3">
      <c r="A117" s="8" t="s">
        <v>80</v>
      </c>
      <c r="B117">
        <v>96.25849494949496</v>
      </c>
      <c r="C117">
        <v>95.735891891891839</v>
      </c>
      <c r="D117">
        <v>95.211923076923085</v>
      </c>
      <c r="E117">
        <v>95.800181818181827</v>
      </c>
    </row>
    <row r="123" spans="1:5" x14ac:dyDescent="0.3">
      <c r="A123" s="7" t="s">
        <v>11</v>
      </c>
      <c r="B123" t="s">
        <v>18</v>
      </c>
    </row>
    <row r="125" spans="1:5" x14ac:dyDescent="0.3">
      <c r="A125" s="7" t="s">
        <v>83</v>
      </c>
      <c r="B125" s="7" t="s">
        <v>81</v>
      </c>
    </row>
    <row r="126" spans="1:5" x14ac:dyDescent="0.3">
      <c r="A126" s="7" t="s">
        <v>79</v>
      </c>
      <c r="B126" t="s">
        <v>33</v>
      </c>
      <c r="C126" t="s">
        <v>22</v>
      </c>
      <c r="D126" t="s">
        <v>17</v>
      </c>
      <c r="E126" t="s">
        <v>80</v>
      </c>
    </row>
    <row r="127" spans="1:5" x14ac:dyDescent="0.3">
      <c r="A127" s="8" t="s">
        <v>23</v>
      </c>
      <c r="B127">
        <v>25</v>
      </c>
      <c r="C127">
        <v>15</v>
      </c>
      <c r="D127">
        <v>15</v>
      </c>
      <c r="E127">
        <v>55</v>
      </c>
    </row>
    <row r="128" spans="1:5" x14ac:dyDescent="0.3">
      <c r="A128" s="8" t="s">
        <v>19</v>
      </c>
      <c r="B128">
        <v>21</v>
      </c>
      <c r="C128">
        <v>34</v>
      </c>
      <c r="E128">
        <v>55</v>
      </c>
    </row>
    <row r="129" spans="1:7" x14ac:dyDescent="0.3">
      <c r="A129" s="8" t="s">
        <v>26</v>
      </c>
      <c r="B129">
        <v>19</v>
      </c>
      <c r="C129">
        <v>17</v>
      </c>
      <c r="D129">
        <v>19</v>
      </c>
      <c r="E129">
        <v>55</v>
      </c>
    </row>
    <row r="130" spans="1:7" x14ac:dyDescent="0.3">
      <c r="A130" s="8" t="s">
        <v>29</v>
      </c>
      <c r="B130">
        <v>17</v>
      </c>
      <c r="C130">
        <v>24</v>
      </c>
      <c r="D130">
        <v>14</v>
      </c>
      <c r="E130">
        <v>55</v>
      </c>
    </row>
    <row r="131" spans="1:7" x14ac:dyDescent="0.3">
      <c r="A131" s="8" t="s">
        <v>14</v>
      </c>
      <c r="B131">
        <v>17</v>
      </c>
      <c r="C131">
        <v>21</v>
      </c>
      <c r="D131">
        <v>17</v>
      </c>
      <c r="E131">
        <v>55</v>
      </c>
    </row>
    <row r="132" spans="1:7" x14ac:dyDescent="0.3">
      <c r="A132" s="8" t="s">
        <v>80</v>
      </c>
      <c r="B132">
        <v>99</v>
      </c>
      <c r="C132">
        <v>111</v>
      </c>
      <c r="D132">
        <v>65</v>
      </c>
      <c r="E132">
        <v>275</v>
      </c>
    </row>
    <row r="138" spans="1:7" x14ac:dyDescent="0.3">
      <c r="A138" s="7" t="s">
        <v>11</v>
      </c>
      <c r="B138" t="s">
        <v>18</v>
      </c>
    </row>
    <row r="140" spans="1:7" x14ac:dyDescent="0.3">
      <c r="A140" s="7" t="s">
        <v>82</v>
      </c>
      <c r="B140" s="7" t="s">
        <v>81</v>
      </c>
    </row>
    <row r="141" spans="1:7" x14ac:dyDescent="0.3">
      <c r="A141" s="7" t="s">
        <v>79</v>
      </c>
      <c r="B141" t="s">
        <v>23</v>
      </c>
      <c r="C141" t="s">
        <v>19</v>
      </c>
      <c r="D141" t="s">
        <v>26</v>
      </c>
      <c r="E141" t="s">
        <v>29</v>
      </c>
      <c r="F141" t="s">
        <v>14</v>
      </c>
      <c r="G141" t="s">
        <v>80</v>
      </c>
    </row>
    <row r="142" spans="1:7" x14ac:dyDescent="0.3">
      <c r="A142" s="8" t="s">
        <v>84</v>
      </c>
      <c r="B142">
        <v>95.700222222222209</v>
      </c>
      <c r="C142">
        <v>96.488052631578952</v>
      </c>
      <c r="D142">
        <v>95.652263157894708</v>
      </c>
      <c r="E142">
        <v>96.98584210526316</v>
      </c>
      <c r="F142">
        <v>94.721166666666662</v>
      </c>
      <c r="G142">
        <v>95.924537634408622</v>
      </c>
    </row>
    <row r="143" spans="1:7" x14ac:dyDescent="0.3">
      <c r="A143" s="8" t="s">
        <v>85</v>
      </c>
      <c r="B143">
        <v>96.494210526315783</v>
      </c>
      <c r="C143">
        <v>96.160611111111095</v>
      </c>
      <c r="D143">
        <v>95.501882352941166</v>
      </c>
      <c r="E143">
        <v>95.11699999999999</v>
      </c>
      <c r="F143">
        <v>94.567421052631587</v>
      </c>
      <c r="G143">
        <v>95.568131868131857</v>
      </c>
    </row>
    <row r="144" spans="1:7" x14ac:dyDescent="0.3">
      <c r="A144" s="8" t="s">
        <v>86</v>
      </c>
      <c r="B144">
        <v>95.562611111111124</v>
      </c>
      <c r="C144">
        <v>95.539722222222238</v>
      </c>
      <c r="D144">
        <v>96.364315789473679</v>
      </c>
      <c r="E144">
        <v>96.644777777777776</v>
      </c>
      <c r="F144">
        <v>95.388777777777761</v>
      </c>
      <c r="G144">
        <v>95.905142857142906</v>
      </c>
    </row>
    <row r="145" spans="1:7" x14ac:dyDescent="0.3">
      <c r="A145" s="8" t="s">
        <v>80</v>
      </c>
      <c r="B145">
        <v>95.92947272727271</v>
      </c>
      <c r="C145">
        <v>96.070527272727304</v>
      </c>
      <c r="D145">
        <v>95.851763636363671</v>
      </c>
      <c r="E145">
        <v>96.262600000000006</v>
      </c>
      <c r="F145">
        <v>94.886545454545441</v>
      </c>
      <c r="G145">
        <v>95.800181818181827</v>
      </c>
    </row>
  </sheetData>
  <conditionalFormatting pivot="1" sqref="B112:E117">
    <cfRule type="colorScale" priority="2">
      <colorScale>
        <cfvo type="min"/>
        <cfvo type="percentile" val="50"/>
        <cfvo type="max"/>
        <color rgb="FFF8696B"/>
        <color rgb="FFFFEB84"/>
        <color rgb="FF63BE7B"/>
      </colorScale>
    </cfRule>
  </conditionalFormatting>
  <conditionalFormatting pivot="1" sqref="B112:D116">
    <cfRule type="colorScale" priority="1">
      <colorScale>
        <cfvo type="min"/>
        <cfvo type="percentile" val="50"/>
        <cfvo type="max"/>
        <color rgb="FF63BE7B"/>
        <color rgb="FFFFEB84"/>
        <color rgb="FFF8696B"/>
      </colorScale>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F13E-3A7F-4A2F-AB93-558BB2976B86}">
  <dimension ref="B2:P10"/>
  <sheetViews>
    <sheetView showGridLines="0" zoomScale="67" workbookViewId="0">
      <selection activeCell="Z20" sqref="Z20"/>
    </sheetView>
  </sheetViews>
  <sheetFormatPr defaultRowHeight="14.4" x14ac:dyDescent="0.3"/>
  <cols>
    <col min="2" max="2" width="8.88671875" style="9"/>
    <col min="3" max="3" width="11.5546875" bestFit="1" customWidth="1"/>
    <col min="4" max="4" width="12.5546875" bestFit="1" customWidth="1"/>
    <col min="5" max="5" width="11" bestFit="1" customWidth="1"/>
    <col min="8" max="8" width="11.6640625" bestFit="1" customWidth="1"/>
    <col min="9" max="9" width="32.109375" bestFit="1" customWidth="1"/>
  </cols>
  <sheetData>
    <row r="2" spans="2:16" ht="23.4" x14ac:dyDescent="0.45">
      <c r="B2" s="14" t="s">
        <v>87</v>
      </c>
      <c r="C2" s="14"/>
      <c r="D2" s="14"/>
      <c r="E2" s="14"/>
      <c r="F2" s="14"/>
      <c r="G2" s="14"/>
      <c r="H2" s="14"/>
      <c r="I2" s="14"/>
      <c r="J2" s="14"/>
      <c r="K2" s="14"/>
      <c r="L2" s="14"/>
      <c r="M2" s="14"/>
      <c r="N2" s="14"/>
      <c r="O2" s="14"/>
      <c r="P2" s="14"/>
    </row>
    <row r="3" spans="2:16" ht="23.4" x14ac:dyDescent="0.45">
      <c r="B3" s="15" t="s">
        <v>88</v>
      </c>
      <c r="C3" s="15"/>
      <c r="D3" s="15"/>
      <c r="E3" s="15"/>
      <c r="F3" s="15"/>
      <c r="G3" s="15"/>
      <c r="H3" s="15"/>
      <c r="I3" s="15"/>
      <c r="J3" s="15"/>
      <c r="K3" s="15"/>
      <c r="L3" s="15"/>
      <c r="M3" s="15"/>
      <c r="N3" s="15"/>
      <c r="O3" s="15"/>
      <c r="P3" s="15"/>
    </row>
    <row r="5" spans="2:16" x14ac:dyDescent="0.3">
      <c r="B5" s="12" t="s">
        <v>35</v>
      </c>
      <c r="C5" s="12" t="s">
        <v>2</v>
      </c>
      <c r="D5" s="12" t="s">
        <v>40</v>
      </c>
      <c r="E5" s="12" t="s">
        <v>89</v>
      </c>
      <c r="F5" s="12" t="s">
        <v>43</v>
      </c>
      <c r="G5" s="12" t="s">
        <v>90</v>
      </c>
      <c r="H5" s="12" t="s">
        <v>91</v>
      </c>
      <c r="I5" s="12" t="s">
        <v>92</v>
      </c>
    </row>
    <row r="6" spans="2:16" x14ac:dyDescent="0.3">
      <c r="B6" s="13" t="s">
        <v>14</v>
      </c>
      <c r="C6" s="13" t="s">
        <v>16</v>
      </c>
      <c r="D6" s="13">
        <f>Analysis!C18</f>
        <v>92.878</v>
      </c>
      <c r="E6" s="13">
        <f>Analysis!B18</f>
        <v>94.886545454545455</v>
      </c>
      <c r="F6" s="13">
        <f>Analysis!F18</f>
        <v>1.7054415613535161</v>
      </c>
      <c r="G6" s="13">
        <v>2</v>
      </c>
      <c r="H6" s="13">
        <f>Analysis!B11</f>
        <v>2.6</v>
      </c>
      <c r="I6" s="13" t="s">
        <v>93</v>
      </c>
    </row>
    <row r="7" spans="2:16" x14ac:dyDescent="0.3">
      <c r="B7" s="10" t="s">
        <v>19</v>
      </c>
      <c r="C7" s="11" t="s">
        <v>21</v>
      </c>
      <c r="D7" s="11">
        <f>Analysis!C19</f>
        <v>94.662000000000006</v>
      </c>
      <c r="E7" s="11">
        <f>Analysis!B19</f>
        <v>96.07052727272729</v>
      </c>
      <c r="F7" s="11">
        <f>Analysis!F19</f>
        <v>1.6831914005570168</v>
      </c>
      <c r="G7" s="11">
        <v>2</v>
      </c>
      <c r="H7" s="11">
        <f>Analysis!B12</f>
        <v>2.9</v>
      </c>
      <c r="I7" s="11" t="s">
        <v>96</v>
      </c>
    </row>
    <row r="8" spans="2:16" x14ac:dyDescent="0.3">
      <c r="B8" s="13" t="s">
        <v>23</v>
      </c>
      <c r="C8" s="13" t="s">
        <v>25</v>
      </c>
      <c r="D8" s="13">
        <f>Analysis!C20</f>
        <v>93.537999999999997</v>
      </c>
      <c r="E8" s="13">
        <f>Analysis!B20</f>
        <v>95.92947272727271</v>
      </c>
      <c r="F8" s="13">
        <f>Analysis!F20</f>
        <v>1.7012167742916569</v>
      </c>
      <c r="G8" s="13">
        <v>2</v>
      </c>
      <c r="H8" s="13">
        <f>Analysis!B13</f>
        <v>2.7</v>
      </c>
      <c r="I8" s="13" t="s">
        <v>95</v>
      </c>
    </row>
    <row r="9" spans="2:16" x14ac:dyDescent="0.3">
      <c r="B9" s="10" t="s">
        <v>26</v>
      </c>
      <c r="C9" s="11" t="s">
        <v>28</v>
      </c>
      <c r="D9" s="11">
        <f>Analysis!C21</f>
        <v>93.731999999999999</v>
      </c>
      <c r="E9" s="11">
        <f>Analysis!B21</f>
        <v>95.851763636363629</v>
      </c>
      <c r="F9" s="11">
        <f>Analysis!F21</f>
        <v>1.6663850646949463</v>
      </c>
      <c r="G9" s="11">
        <v>2</v>
      </c>
      <c r="H9" s="11">
        <f>Analysis!B14</f>
        <v>2.6</v>
      </c>
      <c r="I9" s="11" t="s">
        <v>93</v>
      </c>
    </row>
    <row r="10" spans="2:16" x14ac:dyDescent="0.3">
      <c r="B10" s="13" t="s">
        <v>29</v>
      </c>
      <c r="C10" s="13" t="s">
        <v>31</v>
      </c>
      <c r="D10" s="13">
        <f>Analysis!C22</f>
        <v>93.974000000000004</v>
      </c>
      <c r="E10" s="13">
        <f>Analysis!B22</f>
        <v>96.262600000000006</v>
      </c>
      <c r="F10" s="13">
        <f>Analysis!F22</f>
        <v>1.9385358889101305</v>
      </c>
      <c r="G10" s="13">
        <v>2</v>
      </c>
      <c r="H10" s="13">
        <f>Analysis!B15</f>
        <v>3.1</v>
      </c>
      <c r="I10" s="13" t="s">
        <v>94</v>
      </c>
    </row>
  </sheetData>
  <mergeCells count="2">
    <mergeCell ref="B2:P2"/>
    <mergeCell ref="B3:P3"/>
  </mergeCells>
  <phoneticPr fontId="3" type="noConversion"/>
  <conditionalFormatting sqref="D6:D10">
    <cfRule type="top10" dxfId="1" priority="1" bottom="1" rank="1"/>
    <cfRule type="top10" dxfId="0" priority="2" rank="1"/>
  </conditionalFormatting>
  <pageMargins left="0.7" right="0.7"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0B244-9D94-4649-9A86-8E2D3F0310CA}">
  <dimension ref="A1:U88"/>
  <sheetViews>
    <sheetView tabSelected="1" zoomScale="78" workbookViewId="0">
      <selection activeCell="B56" sqref="B56"/>
    </sheetView>
  </sheetViews>
  <sheetFormatPr defaultRowHeight="14.4" x14ac:dyDescent="0.3"/>
  <cols>
    <col min="1" max="1" width="14" bestFit="1" customWidth="1"/>
    <col min="2" max="2" width="10.88671875" bestFit="1" customWidth="1"/>
    <col min="4" max="4" width="12.109375" bestFit="1" customWidth="1"/>
    <col min="7" max="7" width="12.109375" bestFit="1" customWidth="1"/>
    <col min="8" max="8" width="10.88671875" bestFit="1" customWidth="1"/>
    <col min="10" max="10" width="12.109375" bestFit="1" customWidth="1"/>
    <col min="11" max="11" width="10.88671875" bestFit="1" customWidth="1"/>
    <col min="15" max="15" width="10.5546875" bestFit="1" customWidth="1"/>
  </cols>
  <sheetData>
    <row r="1" spans="1:21" x14ac:dyDescent="0.3">
      <c r="A1" t="s">
        <v>14</v>
      </c>
      <c r="D1" t="s">
        <v>23</v>
      </c>
      <c r="G1" t="s">
        <v>26</v>
      </c>
      <c r="J1" t="s">
        <v>29</v>
      </c>
      <c r="M1" t="s">
        <v>55</v>
      </c>
      <c r="P1" t="s">
        <v>4</v>
      </c>
      <c r="Q1" t="s">
        <v>14</v>
      </c>
      <c r="R1" t="s">
        <v>19</v>
      </c>
      <c r="S1" t="s">
        <v>23</v>
      </c>
      <c r="T1" t="s">
        <v>26</v>
      </c>
      <c r="U1" t="s">
        <v>29</v>
      </c>
    </row>
    <row r="2" spans="1:21" x14ac:dyDescent="0.3">
      <c r="A2" s="4" t="s">
        <v>6</v>
      </c>
      <c r="B2" s="4" t="s">
        <v>7</v>
      </c>
      <c r="C2">
        <f>SLOPE(B3:B19, A3:A19)</f>
        <v>0.12823529411764709</v>
      </c>
      <c r="D2" s="4" t="s">
        <v>6</v>
      </c>
      <c r="E2" s="4" t="s">
        <v>7</v>
      </c>
      <c r="F2">
        <f>SLOPE(E3:E17, D3:D17)</f>
        <v>0.25776785714285705</v>
      </c>
      <c r="G2" s="4" t="s">
        <v>6</v>
      </c>
      <c r="H2" s="4" t="s">
        <v>7</v>
      </c>
      <c r="I2">
        <f>SLOPE(H3:H21, G3:G21)</f>
        <v>0.10969122807017531</v>
      </c>
      <c r="J2" s="4" t="s">
        <v>6</v>
      </c>
      <c r="K2" s="4" t="s">
        <v>7</v>
      </c>
      <c r="L2">
        <f>SLOPE(K3:K16, J3:J16)</f>
        <v>9.625934065934022E-2</v>
      </c>
      <c r="P2">
        <v>1</v>
      </c>
      <c r="Q2" s="2">
        <v>97.846000000000004</v>
      </c>
      <c r="R2" s="2">
        <v>99.305000000000007</v>
      </c>
      <c r="S2" s="2">
        <v>97.816000000000003</v>
      </c>
      <c r="T2" s="2">
        <v>97.481999999999999</v>
      </c>
      <c r="U2" s="2">
        <v>99.748999999999995</v>
      </c>
    </row>
    <row r="3" spans="1:21" x14ac:dyDescent="0.3">
      <c r="A3" s="2">
        <v>1</v>
      </c>
      <c r="B3" s="2">
        <v>97.846000000000004</v>
      </c>
      <c r="D3" s="2">
        <v>1</v>
      </c>
      <c r="E3" s="2">
        <v>97.816000000000003</v>
      </c>
      <c r="G3" s="2">
        <v>1</v>
      </c>
      <c r="H3" s="2">
        <v>97.481999999999999</v>
      </c>
      <c r="J3" s="2">
        <v>1</v>
      </c>
      <c r="K3" s="2">
        <v>93.974000000000004</v>
      </c>
      <c r="P3">
        <v>2</v>
      </c>
      <c r="Q3" s="3">
        <v>92.878</v>
      </c>
      <c r="R3" s="3">
        <v>94.840999999999994</v>
      </c>
      <c r="S3" s="3">
        <v>93.537999999999997</v>
      </c>
      <c r="T3" s="3">
        <v>94.069000000000003</v>
      </c>
      <c r="U3" s="3">
        <v>95.34</v>
      </c>
    </row>
    <row r="4" spans="1:21" x14ac:dyDescent="0.3">
      <c r="A4" s="3">
        <v>2</v>
      </c>
      <c r="B4" s="3">
        <v>92.878</v>
      </c>
      <c r="D4" s="3">
        <v>2</v>
      </c>
      <c r="E4" s="3">
        <v>93.537999999999997</v>
      </c>
      <c r="G4" s="3">
        <v>2</v>
      </c>
      <c r="H4" s="3">
        <v>94.069000000000003</v>
      </c>
      <c r="J4" s="3">
        <v>2</v>
      </c>
      <c r="K4" s="3">
        <v>94.182000000000002</v>
      </c>
      <c r="P4">
        <v>3</v>
      </c>
      <c r="Q4" s="2">
        <v>92.974999999999994</v>
      </c>
      <c r="R4" s="2">
        <v>94.82</v>
      </c>
      <c r="S4" s="2">
        <v>93.89</v>
      </c>
      <c r="T4" s="2">
        <v>94.034000000000006</v>
      </c>
      <c r="U4" s="2">
        <v>95.399000000000001</v>
      </c>
    </row>
    <row r="5" spans="1:21" x14ac:dyDescent="0.3">
      <c r="A5" s="2">
        <v>3</v>
      </c>
      <c r="B5" s="2">
        <v>92.974999999999994</v>
      </c>
      <c r="D5" s="2">
        <v>3</v>
      </c>
      <c r="E5" s="2">
        <v>93.89</v>
      </c>
      <c r="G5" s="2">
        <v>3</v>
      </c>
      <c r="H5" s="2">
        <v>94.034000000000006</v>
      </c>
      <c r="J5" s="2">
        <v>3</v>
      </c>
      <c r="K5" s="2">
        <v>94.459000000000003</v>
      </c>
      <c r="P5">
        <v>4</v>
      </c>
      <c r="Q5" s="3">
        <v>93.180999999999997</v>
      </c>
      <c r="R5" s="3">
        <v>95.076999999999998</v>
      </c>
      <c r="S5" s="3">
        <v>94.179000000000002</v>
      </c>
      <c r="T5" s="3">
        <v>93.731999999999999</v>
      </c>
      <c r="U5" s="3">
        <v>95.221999999999994</v>
      </c>
    </row>
    <row r="6" spans="1:21" x14ac:dyDescent="0.3">
      <c r="A6" s="3">
        <v>4</v>
      </c>
      <c r="B6" s="3">
        <v>93.180999999999997</v>
      </c>
      <c r="D6" s="3">
        <v>4</v>
      </c>
      <c r="E6" s="3">
        <v>94.179000000000002</v>
      </c>
      <c r="G6" s="3">
        <v>4</v>
      </c>
      <c r="H6" s="3">
        <v>93.731999999999999</v>
      </c>
      <c r="J6" s="3">
        <v>4</v>
      </c>
      <c r="K6" s="3">
        <v>94.271000000000001</v>
      </c>
      <c r="P6">
        <v>5</v>
      </c>
      <c r="Q6" s="2">
        <v>93.210999999999999</v>
      </c>
      <c r="R6" s="2">
        <v>95.254999999999995</v>
      </c>
      <c r="S6" s="2">
        <v>93.792000000000002</v>
      </c>
      <c r="T6" s="2">
        <v>93.832999999999998</v>
      </c>
      <c r="U6" s="2">
        <v>95.623000000000005</v>
      </c>
    </row>
    <row r="7" spans="1:21" x14ac:dyDescent="0.3">
      <c r="A7" s="2">
        <v>5</v>
      </c>
      <c r="B7" s="2">
        <v>93.210999999999999</v>
      </c>
      <c r="D7" s="2">
        <v>5</v>
      </c>
      <c r="E7" s="2">
        <v>93.792000000000002</v>
      </c>
      <c r="G7" s="2">
        <v>5</v>
      </c>
      <c r="H7" s="2">
        <v>93.832999999999998</v>
      </c>
      <c r="J7" s="2">
        <v>5</v>
      </c>
      <c r="K7" s="2">
        <v>94.350999999999999</v>
      </c>
      <c r="P7">
        <v>6</v>
      </c>
      <c r="Q7" s="3">
        <v>93.174999999999997</v>
      </c>
      <c r="R7" s="3">
        <v>95.301000000000002</v>
      </c>
      <c r="S7" s="3">
        <v>94.146000000000001</v>
      </c>
      <c r="T7" s="3">
        <v>94.108000000000004</v>
      </c>
      <c r="U7" s="3">
        <v>95.605000000000004</v>
      </c>
    </row>
    <row r="8" spans="1:21" x14ac:dyDescent="0.3">
      <c r="A8" s="3">
        <v>6</v>
      </c>
      <c r="B8" s="3">
        <v>93.174999999999997</v>
      </c>
      <c r="D8" s="3">
        <v>6</v>
      </c>
      <c r="E8" s="3">
        <v>94.146000000000001</v>
      </c>
      <c r="G8" s="3">
        <v>6</v>
      </c>
      <c r="H8" s="3">
        <v>94.108000000000004</v>
      </c>
      <c r="J8" s="3">
        <v>6</v>
      </c>
      <c r="K8" s="3">
        <v>94.388000000000005</v>
      </c>
      <c r="P8">
        <v>7</v>
      </c>
      <c r="Q8" s="2">
        <v>93.512</v>
      </c>
      <c r="R8" s="2">
        <v>95.269000000000005</v>
      </c>
      <c r="S8" s="2">
        <v>94.28</v>
      </c>
      <c r="T8" s="2">
        <v>94.188999999999993</v>
      </c>
      <c r="U8" s="2">
        <v>95.430999999999997</v>
      </c>
    </row>
    <row r="9" spans="1:21" x14ac:dyDescent="0.3">
      <c r="A9" s="2">
        <v>7</v>
      </c>
      <c r="B9" s="2">
        <v>93.512</v>
      </c>
      <c r="D9" s="2">
        <v>7</v>
      </c>
      <c r="E9" s="2">
        <v>94.28</v>
      </c>
      <c r="G9" s="2">
        <v>7</v>
      </c>
      <c r="H9" s="2">
        <v>94.188999999999993</v>
      </c>
      <c r="J9" s="2">
        <v>7</v>
      </c>
      <c r="K9" s="2">
        <v>94.623000000000005</v>
      </c>
      <c r="P9">
        <v>8</v>
      </c>
      <c r="Q9" s="3">
        <v>93.402000000000001</v>
      </c>
      <c r="R9" s="3">
        <v>95.513000000000005</v>
      </c>
      <c r="S9" s="3">
        <v>94.007000000000005</v>
      </c>
      <c r="T9" s="3">
        <v>94.366</v>
      </c>
      <c r="U9" s="3">
        <v>95.59</v>
      </c>
    </row>
    <row r="10" spans="1:21" x14ac:dyDescent="0.3">
      <c r="A10" s="3">
        <v>8</v>
      </c>
      <c r="B10" s="3">
        <v>93.402000000000001</v>
      </c>
      <c r="D10" s="3">
        <v>8</v>
      </c>
      <c r="E10" s="3">
        <v>94.007000000000005</v>
      </c>
      <c r="G10" s="3">
        <v>8</v>
      </c>
      <c r="H10" s="3">
        <v>94.366</v>
      </c>
      <c r="J10" s="3">
        <v>8</v>
      </c>
      <c r="K10" s="3">
        <v>94.81</v>
      </c>
      <c r="P10">
        <v>9</v>
      </c>
      <c r="Q10" s="2">
        <v>93.299000000000007</v>
      </c>
      <c r="R10" s="2">
        <v>95.117999999999995</v>
      </c>
      <c r="S10" s="2">
        <v>94.492999999999995</v>
      </c>
      <c r="T10" s="2">
        <v>94.742000000000004</v>
      </c>
      <c r="U10" s="2">
        <v>96.046000000000006</v>
      </c>
    </row>
    <row r="11" spans="1:21" x14ac:dyDescent="0.3">
      <c r="A11" s="2">
        <v>9</v>
      </c>
      <c r="B11" s="2">
        <v>93.299000000000007</v>
      </c>
      <c r="D11" s="2">
        <v>9</v>
      </c>
      <c r="E11" s="2">
        <v>94.492999999999995</v>
      </c>
      <c r="G11" s="2">
        <v>9</v>
      </c>
      <c r="H11" s="2">
        <v>94.742000000000004</v>
      </c>
      <c r="J11" s="2">
        <v>9</v>
      </c>
      <c r="K11" s="2">
        <v>94.531999999999996</v>
      </c>
      <c r="P11">
        <v>10</v>
      </c>
      <c r="Q11" s="3">
        <v>93.337000000000003</v>
      </c>
      <c r="R11" s="3">
        <v>95.635000000000005</v>
      </c>
      <c r="S11" s="3">
        <v>94.495000000000005</v>
      </c>
      <c r="T11" s="3">
        <v>94.7</v>
      </c>
      <c r="U11" s="3">
        <v>95.808000000000007</v>
      </c>
    </row>
    <row r="12" spans="1:21" x14ac:dyDescent="0.3">
      <c r="A12" s="3">
        <v>10</v>
      </c>
      <c r="B12" s="3">
        <v>93.337000000000003</v>
      </c>
      <c r="D12" s="3">
        <v>10</v>
      </c>
      <c r="E12" s="3">
        <v>94.495000000000005</v>
      </c>
      <c r="G12" s="3">
        <v>10</v>
      </c>
      <c r="H12" s="3">
        <v>94.7</v>
      </c>
      <c r="J12" s="3">
        <v>10</v>
      </c>
      <c r="K12" s="3">
        <v>94.873000000000005</v>
      </c>
      <c r="P12">
        <v>11</v>
      </c>
      <c r="Q12" s="2">
        <v>93.703000000000003</v>
      </c>
      <c r="R12" s="2">
        <v>95.34</v>
      </c>
      <c r="S12" s="2">
        <v>94.545000000000002</v>
      </c>
      <c r="T12" s="2">
        <v>94.525999999999996</v>
      </c>
      <c r="U12" s="2">
        <v>95.625</v>
      </c>
    </row>
    <row r="13" spans="1:21" x14ac:dyDescent="0.3">
      <c r="A13" s="2">
        <v>11</v>
      </c>
      <c r="B13" s="2">
        <v>93.703000000000003</v>
      </c>
      <c r="D13" s="2">
        <v>11</v>
      </c>
      <c r="E13" s="2">
        <v>94.545000000000002</v>
      </c>
      <c r="G13" s="2">
        <v>11</v>
      </c>
      <c r="H13" s="2">
        <v>94.525999999999996</v>
      </c>
      <c r="J13" s="2">
        <v>11</v>
      </c>
      <c r="K13" s="2">
        <v>95.108000000000004</v>
      </c>
      <c r="P13">
        <v>12</v>
      </c>
      <c r="Q13" s="3">
        <v>102.21599999999999</v>
      </c>
      <c r="R13" s="3">
        <v>103.759</v>
      </c>
      <c r="S13" s="3">
        <v>102.967</v>
      </c>
      <c r="T13" s="3">
        <v>103.21299999999999</v>
      </c>
      <c r="U13" s="3">
        <v>104.639</v>
      </c>
    </row>
    <row r="14" spans="1:21" x14ac:dyDescent="0.3">
      <c r="A14" s="3">
        <v>12</v>
      </c>
      <c r="B14" s="3">
        <v>102.21599999999999</v>
      </c>
      <c r="D14" s="3">
        <v>12</v>
      </c>
      <c r="E14" s="3">
        <v>102.967</v>
      </c>
      <c r="G14" s="3">
        <v>12</v>
      </c>
      <c r="H14" s="3">
        <v>103.21299999999999</v>
      </c>
      <c r="J14" s="3">
        <v>12</v>
      </c>
      <c r="K14" s="3">
        <v>94.858999999999995</v>
      </c>
      <c r="P14">
        <v>13</v>
      </c>
      <c r="Q14" s="2">
        <v>102.221</v>
      </c>
      <c r="R14" s="2">
        <v>103.895</v>
      </c>
      <c r="S14" s="2">
        <v>103.134</v>
      </c>
      <c r="T14" s="2">
        <v>103.176</v>
      </c>
      <c r="U14" s="2">
        <v>104.741</v>
      </c>
    </row>
    <row r="15" spans="1:21" x14ac:dyDescent="0.3">
      <c r="A15" s="2">
        <v>13</v>
      </c>
      <c r="B15" s="2">
        <v>102.221</v>
      </c>
      <c r="D15" s="2">
        <v>13</v>
      </c>
      <c r="E15" s="2">
        <v>103.134</v>
      </c>
      <c r="G15" s="2">
        <v>13</v>
      </c>
      <c r="H15" s="2">
        <v>103.176</v>
      </c>
      <c r="J15" s="2">
        <v>13</v>
      </c>
      <c r="K15" s="2">
        <v>95.384</v>
      </c>
      <c r="P15">
        <v>14</v>
      </c>
      <c r="Q15" s="3">
        <v>93.813999999999993</v>
      </c>
      <c r="R15" s="3">
        <v>95.664000000000001</v>
      </c>
      <c r="S15" s="3">
        <v>94.900999999999996</v>
      </c>
      <c r="T15" s="3">
        <v>94.811000000000007</v>
      </c>
      <c r="U15" s="3">
        <v>96.063999999999993</v>
      </c>
    </row>
    <row r="16" spans="1:21" x14ac:dyDescent="0.3">
      <c r="A16" s="3">
        <v>14</v>
      </c>
      <c r="B16" s="3">
        <v>93.813999999999993</v>
      </c>
      <c r="D16" s="3">
        <v>14</v>
      </c>
      <c r="E16" s="3">
        <v>94.900999999999996</v>
      </c>
      <c r="G16" s="3">
        <v>14</v>
      </c>
      <c r="H16" s="3">
        <v>94.811000000000007</v>
      </c>
      <c r="J16" s="3">
        <v>14</v>
      </c>
      <c r="K16" s="3">
        <v>95.35</v>
      </c>
      <c r="P16">
        <v>15</v>
      </c>
      <c r="Q16" s="2">
        <v>94.287999999999997</v>
      </c>
      <c r="R16" s="2">
        <v>95.468000000000004</v>
      </c>
      <c r="S16" s="2">
        <v>94.881</v>
      </c>
      <c r="T16" s="2">
        <v>95.215999999999994</v>
      </c>
      <c r="U16" s="2">
        <v>96.221999999999994</v>
      </c>
    </row>
    <row r="17" spans="1:21" x14ac:dyDescent="0.3">
      <c r="A17" s="2">
        <v>15</v>
      </c>
      <c r="B17" s="2">
        <v>94.287999999999997</v>
      </c>
      <c r="D17" s="2">
        <v>15</v>
      </c>
      <c r="E17" s="2">
        <v>94.881</v>
      </c>
      <c r="G17" s="2">
        <v>15</v>
      </c>
      <c r="H17" s="2">
        <v>95.215999999999994</v>
      </c>
      <c r="P17">
        <v>16</v>
      </c>
      <c r="Q17" s="3">
        <v>94.057000000000002</v>
      </c>
      <c r="R17" s="3">
        <v>95.924000000000007</v>
      </c>
      <c r="S17" s="3">
        <v>113.515</v>
      </c>
      <c r="T17" s="3">
        <v>95.231999999999999</v>
      </c>
      <c r="U17" s="3">
        <v>96.298000000000002</v>
      </c>
    </row>
    <row r="18" spans="1:21" x14ac:dyDescent="0.3">
      <c r="A18" s="3">
        <v>16</v>
      </c>
      <c r="B18" s="3">
        <v>94.057000000000002</v>
      </c>
      <c r="G18" s="3">
        <v>16</v>
      </c>
      <c r="H18" s="3">
        <v>95.231999999999999</v>
      </c>
      <c r="P18">
        <v>17</v>
      </c>
      <c r="Q18" s="2">
        <v>94.039000000000001</v>
      </c>
      <c r="R18" s="2">
        <v>95.938000000000002</v>
      </c>
      <c r="S18" s="2">
        <v>95.751999999999995</v>
      </c>
      <c r="T18" s="2">
        <v>95.421999999999997</v>
      </c>
      <c r="U18" s="2">
        <v>96.528000000000006</v>
      </c>
    </row>
    <row r="19" spans="1:21" x14ac:dyDescent="0.3">
      <c r="A19" s="2">
        <v>17</v>
      </c>
      <c r="B19" s="2">
        <v>94.039000000000001</v>
      </c>
      <c r="G19" s="2">
        <v>17</v>
      </c>
      <c r="H19" s="2">
        <v>95.421999999999997</v>
      </c>
      <c r="P19">
        <v>18</v>
      </c>
      <c r="Q19" s="3">
        <v>113.928</v>
      </c>
      <c r="R19" s="3">
        <v>95.5</v>
      </c>
      <c r="S19" s="3">
        <v>95.783000000000001</v>
      </c>
      <c r="T19" s="3">
        <v>95.346000000000004</v>
      </c>
      <c r="U19" s="3">
        <v>96.215999999999994</v>
      </c>
    </row>
    <row r="20" spans="1:21" x14ac:dyDescent="0.3">
      <c r="G20" s="3">
        <v>18</v>
      </c>
      <c r="H20" s="3">
        <v>95.346000000000004</v>
      </c>
      <c r="P20">
        <v>19</v>
      </c>
      <c r="Q20" s="2">
        <v>93.826999999999998</v>
      </c>
      <c r="R20" s="2">
        <v>95.650999999999996</v>
      </c>
      <c r="S20" s="2">
        <v>96.004999999999995</v>
      </c>
      <c r="T20" s="2">
        <v>95.195999999999998</v>
      </c>
      <c r="U20" s="2">
        <v>96.584999999999994</v>
      </c>
    </row>
    <row r="21" spans="1:21" x14ac:dyDescent="0.3">
      <c r="G21" s="2">
        <v>19</v>
      </c>
      <c r="H21" s="2">
        <v>95.195999999999998</v>
      </c>
      <c r="P21">
        <v>20</v>
      </c>
      <c r="Q21" s="3">
        <v>94.284000000000006</v>
      </c>
      <c r="R21" s="3">
        <v>96.025999999999996</v>
      </c>
      <c r="S21" s="3">
        <v>96.269000000000005</v>
      </c>
      <c r="T21" s="3">
        <v>116.83499999999999</v>
      </c>
      <c r="U21" s="3">
        <v>96.417000000000002</v>
      </c>
    </row>
    <row r="22" spans="1:21" x14ac:dyDescent="0.3">
      <c r="P22">
        <v>21</v>
      </c>
      <c r="Q22" s="2">
        <v>93.98</v>
      </c>
      <c r="R22" s="2">
        <v>95.816999999999993</v>
      </c>
      <c r="S22" s="2">
        <v>96.412999999999997</v>
      </c>
      <c r="T22" s="2">
        <v>94.878</v>
      </c>
      <c r="U22" s="2">
        <v>96.55</v>
      </c>
    </row>
    <row r="23" spans="1:21" x14ac:dyDescent="0.3">
      <c r="A23" t="s">
        <v>54</v>
      </c>
      <c r="P23">
        <v>22</v>
      </c>
      <c r="Q23" s="3">
        <v>93.962000000000003</v>
      </c>
      <c r="R23" s="3">
        <v>114.747</v>
      </c>
      <c r="S23" s="3">
        <v>96.293999999999997</v>
      </c>
      <c r="T23" s="3">
        <v>95.146000000000001</v>
      </c>
      <c r="U23" s="3">
        <v>96.239000000000004</v>
      </c>
    </row>
    <row r="24" spans="1:21" x14ac:dyDescent="0.3">
      <c r="A24" t="s">
        <v>14</v>
      </c>
      <c r="D24" t="s">
        <v>19</v>
      </c>
      <c r="G24" t="s">
        <v>23</v>
      </c>
      <c r="J24" t="s">
        <v>26</v>
      </c>
      <c r="M24" t="s">
        <v>29</v>
      </c>
      <c r="P24">
        <v>23</v>
      </c>
      <c r="Q24" s="2">
        <v>94.085999999999999</v>
      </c>
      <c r="R24" s="2">
        <v>95.947000000000003</v>
      </c>
      <c r="S24" s="2">
        <v>95.988</v>
      </c>
      <c r="T24" s="2">
        <v>95.222999999999999</v>
      </c>
      <c r="U24" s="2">
        <v>96.578000000000003</v>
      </c>
    </row>
    <row r="25" spans="1:21" x14ac:dyDescent="0.3">
      <c r="A25" s="4" t="s">
        <v>6</v>
      </c>
      <c r="B25" s="4" t="s">
        <v>7</v>
      </c>
      <c r="C25">
        <f>SLOPE(B26:B42,A26:A42)</f>
        <v>2.3816176470588129E-2</v>
      </c>
      <c r="D25" s="4" t="s">
        <v>6</v>
      </c>
      <c r="E25" s="4" t="s">
        <v>7</v>
      </c>
      <c r="F25">
        <f>SLOPE(E26:E46,D26:D46)</f>
        <v>2.9644155844155522E-2</v>
      </c>
      <c r="G25" s="4" t="s">
        <v>6</v>
      </c>
      <c r="H25" s="4" t="s">
        <v>7</v>
      </c>
      <c r="I25">
        <f>SLOPE(H26:H50, G26:G50)</f>
        <v>3.5951538461538521E-2</v>
      </c>
      <c r="J25" s="4" t="s">
        <v>6</v>
      </c>
      <c r="K25" s="4" t="s">
        <v>7</v>
      </c>
      <c r="L25">
        <f>SLOPE(K26:K44, J26:J44)</f>
        <v>1.8740350877193061E-2</v>
      </c>
      <c r="M25" s="4" t="s">
        <v>6</v>
      </c>
      <c r="N25" s="4" t="s">
        <v>7</v>
      </c>
      <c r="O25">
        <f>SLOPE(N26:N42, M26:M42)</f>
        <v>3.0647058823529458E-2</v>
      </c>
      <c r="P25">
        <v>24</v>
      </c>
      <c r="Q25" s="3">
        <v>94.555000000000007</v>
      </c>
      <c r="R25" s="3">
        <v>96.091999999999999</v>
      </c>
      <c r="S25" s="3">
        <v>96.31</v>
      </c>
      <c r="T25" s="3">
        <v>95.212999999999994</v>
      </c>
      <c r="U25" s="3">
        <v>96.507999999999996</v>
      </c>
    </row>
    <row r="26" spans="1:21" x14ac:dyDescent="0.3">
      <c r="A26" s="2">
        <v>1</v>
      </c>
      <c r="B26" s="2">
        <v>94.933999999999997</v>
      </c>
      <c r="D26" s="2">
        <v>1</v>
      </c>
      <c r="E26" s="2">
        <v>95.947000000000003</v>
      </c>
      <c r="G26" s="2">
        <v>1</v>
      </c>
      <c r="H26" s="2">
        <v>95.751999999999995</v>
      </c>
      <c r="J26" s="2">
        <v>1</v>
      </c>
      <c r="K26" s="2">
        <v>96.253</v>
      </c>
      <c r="M26" s="2">
        <v>1</v>
      </c>
      <c r="N26" s="2">
        <v>96.563999999999993</v>
      </c>
      <c r="P26">
        <v>25</v>
      </c>
      <c r="Q26" s="2">
        <v>94.606999999999999</v>
      </c>
      <c r="R26" s="2">
        <v>96.03</v>
      </c>
      <c r="S26" s="2">
        <v>96.575000000000003</v>
      </c>
      <c r="T26" s="2">
        <v>95.384</v>
      </c>
      <c r="U26" s="2">
        <v>116.69499999999999</v>
      </c>
    </row>
    <row r="27" spans="1:21" x14ac:dyDescent="0.3">
      <c r="A27" s="3">
        <v>2</v>
      </c>
      <c r="B27" s="3">
        <v>94.921000000000006</v>
      </c>
      <c r="D27" s="3">
        <v>2</v>
      </c>
      <c r="E27" s="3">
        <v>96.091999999999999</v>
      </c>
      <c r="G27" s="3">
        <v>2</v>
      </c>
      <c r="H27" s="3">
        <v>95.783000000000001</v>
      </c>
      <c r="J27" s="3">
        <v>2</v>
      </c>
      <c r="K27" s="3">
        <v>95.894000000000005</v>
      </c>
      <c r="M27" s="3">
        <v>2</v>
      </c>
      <c r="N27" s="3">
        <v>96.442999999999998</v>
      </c>
      <c r="P27">
        <v>26</v>
      </c>
      <c r="Q27" s="3">
        <v>94.331000000000003</v>
      </c>
      <c r="R27" s="3">
        <v>95.995000000000005</v>
      </c>
      <c r="S27" s="3">
        <v>96.039000000000001</v>
      </c>
      <c r="T27" s="3">
        <v>95.049000000000007</v>
      </c>
      <c r="U27" s="3">
        <v>93.974000000000004</v>
      </c>
    </row>
    <row r="28" spans="1:21" x14ac:dyDescent="0.3">
      <c r="A28" s="2">
        <v>3</v>
      </c>
      <c r="B28" s="2">
        <v>95.492999999999995</v>
      </c>
      <c r="D28" s="2">
        <v>3</v>
      </c>
      <c r="E28" s="2">
        <v>96.03</v>
      </c>
      <c r="G28" s="2">
        <v>3</v>
      </c>
      <c r="H28" s="2">
        <v>96.004999999999995</v>
      </c>
      <c r="J28" s="2">
        <v>3</v>
      </c>
      <c r="K28" s="2">
        <v>96.445999999999998</v>
      </c>
      <c r="M28" s="2">
        <v>3</v>
      </c>
      <c r="N28" s="2">
        <v>96.492999999999995</v>
      </c>
      <c r="P28">
        <v>27</v>
      </c>
      <c r="Q28" s="2">
        <v>94.45</v>
      </c>
      <c r="R28" s="2">
        <v>95.98</v>
      </c>
      <c r="S28" s="2">
        <v>96.602000000000004</v>
      </c>
      <c r="T28" s="2">
        <v>95.447999999999993</v>
      </c>
      <c r="U28" s="2">
        <v>94.182000000000002</v>
      </c>
    </row>
    <row r="29" spans="1:21" x14ac:dyDescent="0.3">
      <c r="A29" s="3">
        <v>4</v>
      </c>
      <c r="B29" s="3">
        <v>95.5</v>
      </c>
      <c r="D29" s="3">
        <v>4</v>
      </c>
      <c r="E29" s="3">
        <v>95.995000000000005</v>
      </c>
      <c r="G29" s="3">
        <v>4</v>
      </c>
      <c r="H29" s="3">
        <v>96.269000000000005</v>
      </c>
      <c r="J29" s="3">
        <v>4</v>
      </c>
      <c r="K29" s="3">
        <v>96.244</v>
      </c>
      <c r="M29" s="3">
        <v>4</v>
      </c>
      <c r="N29" s="3">
        <v>96.768000000000001</v>
      </c>
      <c r="P29">
        <v>28</v>
      </c>
      <c r="Q29" s="3">
        <v>94.522000000000006</v>
      </c>
      <c r="R29" s="3">
        <v>96.277000000000001</v>
      </c>
      <c r="S29" s="3">
        <v>96.593000000000004</v>
      </c>
      <c r="T29" s="3">
        <v>95.356999999999999</v>
      </c>
      <c r="U29" s="3">
        <v>94.459000000000003</v>
      </c>
    </row>
    <row r="30" spans="1:21" x14ac:dyDescent="0.3">
      <c r="A30" s="2">
        <v>5</v>
      </c>
      <c r="B30" s="2">
        <v>95.436999999999998</v>
      </c>
      <c r="D30" s="2">
        <v>5</v>
      </c>
      <c r="E30" s="2">
        <v>95.98</v>
      </c>
      <c r="G30" s="2">
        <v>5</v>
      </c>
      <c r="H30" s="2">
        <v>96.412999999999997</v>
      </c>
      <c r="J30" s="2">
        <v>5</v>
      </c>
      <c r="K30" s="2">
        <v>96.445999999999998</v>
      </c>
      <c r="M30" s="2">
        <v>5</v>
      </c>
      <c r="N30" s="2">
        <v>96.488</v>
      </c>
      <c r="P30">
        <v>29</v>
      </c>
      <c r="Q30" s="2">
        <v>94.305000000000007</v>
      </c>
      <c r="R30" s="2">
        <v>95.847999999999999</v>
      </c>
      <c r="S30" s="2">
        <v>96.421999999999997</v>
      </c>
      <c r="T30" s="2">
        <v>95.722999999999999</v>
      </c>
      <c r="U30" s="2">
        <v>94.271000000000001</v>
      </c>
    </row>
    <row r="31" spans="1:21" x14ac:dyDescent="0.3">
      <c r="A31" s="3">
        <v>6</v>
      </c>
      <c r="B31" s="3">
        <v>95.284999999999997</v>
      </c>
      <c r="D31" s="3">
        <v>6</v>
      </c>
      <c r="E31" s="3">
        <v>96.277000000000001</v>
      </c>
      <c r="G31" s="3">
        <v>6</v>
      </c>
      <c r="H31" s="3">
        <v>96.293999999999997</v>
      </c>
      <c r="J31" s="3">
        <v>6</v>
      </c>
      <c r="K31" s="3">
        <v>96.450999999999993</v>
      </c>
      <c r="M31" s="3">
        <v>6</v>
      </c>
      <c r="N31" s="3">
        <v>96.7</v>
      </c>
      <c r="P31">
        <v>30</v>
      </c>
      <c r="Q31" s="3">
        <v>94.694000000000003</v>
      </c>
      <c r="R31" s="3">
        <v>96.015000000000001</v>
      </c>
      <c r="S31" s="3">
        <v>96.486999999999995</v>
      </c>
      <c r="T31" s="3">
        <v>95.796999999999997</v>
      </c>
      <c r="U31" s="3">
        <v>94.350999999999999</v>
      </c>
    </row>
    <row r="32" spans="1:21" x14ac:dyDescent="0.3">
      <c r="A32" s="2">
        <v>7</v>
      </c>
      <c r="B32" s="2">
        <v>95.614999999999995</v>
      </c>
      <c r="D32" s="2">
        <v>7</v>
      </c>
      <c r="E32" s="2">
        <v>95.847999999999999</v>
      </c>
      <c r="G32" s="2">
        <v>7</v>
      </c>
      <c r="H32" s="2">
        <v>95.988</v>
      </c>
      <c r="J32" s="2">
        <v>7</v>
      </c>
      <c r="K32" s="2">
        <v>96.295000000000002</v>
      </c>
      <c r="M32" s="2">
        <v>7</v>
      </c>
      <c r="N32" s="2">
        <v>96.531999999999996</v>
      </c>
      <c r="P32">
        <v>31</v>
      </c>
      <c r="Q32" s="2">
        <v>94.522000000000006</v>
      </c>
      <c r="R32" s="2">
        <v>96.286000000000001</v>
      </c>
      <c r="S32" s="2">
        <v>96.686999999999998</v>
      </c>
      <c r="T32" s="2">
        <v>95.882999999999996</v>
      </c>
      <c r="U32" s="2">
        <v>94.388000000000005</v>
      </c>
    </row>
    <row r="33" spans="1:21" x14ac:dyDescent="0.3">
      <c r="A33" s="3">
        <v>8</v>
      </c>
      <c r="B33" s="3">
        <v>95.366</v>
      </c>
      <c r="D33" s="3">
        <v>8</v>
      </c>
      <c r="E33" s="3">
        <v>96.015000000000001</v>
      </c>
      <c r="G33" s="3">
        <v>8</v>
      </c>
      <c r="H33" s="3">
        <v>96.31</v>
      </c>
      <c r="J33" s="3">
        <v>8</v>
      </c>
      <c r="K33" s="3">
        <v>96.197999999999993</v>
      </c>
      <c r="M33" s="3">
        <v>8</v>
      </c>
      <c r="N33" s="3">
        <v>96.866</v>
      </c>
      <c r="P33">
        <v>32</v>
      </c>
      <c r="Q33" s="3">
        <v>94.492000000000004</v>
      </c>
      <c r="R33" s="3">
        <v>96.521000000000001</v>
      </c>
      <c r="S33" s="3">
        <v>96.753</v>
      </c>
      <c r="T33" s="3">
        <v>95.566000000000003</v>
      </c>
      <c r="U33" s="3">
        <v>94.623000000000005</v>
      </c>
    </row>
    <row r="34" spans="1:21" x14ac:dyDescent="0.3">
      <c r="A34" s="2">
        <v>9</v>
      </c>
      <c r="B34" s="2">
        <v>95.221999999999994</v>
      </c>
      <c r="D34" s="2">
        <v>9</v>
      </c>
      <c r="E34" s="2">
        <v>96.286000000000001</v>
      </c>
      <c r="G34" s="2">
        <v>9</v>
      </c>
      <c r="H34" s="2">
        <v>96.575000000000003</v>
      </c>
      <c r="J34" s="2">
        <v>9</v>
      </c>
      <c r="K34" s="2">
        <v>96.397999999999996</v>
      </c>
      <c r="M34" s="2">
        <v>9</v>
      </c>
      <c r="N34" s="2">
        <v>96.629000000000005</v>
      </c>
      <c r="P34">
        <v>33</v>
      </c>
      <c r="Q34" s="2">
        <v>94.697999999999993</v>
      </c>
      <c r="R34" s="2">
        <v>96.417000000000002</v>
      </c>
      <c r="S34" s="2">
        <v>96.632000000000005</v>
      </c>
      <c r="T34" s="2">
        <v>95.656999999999996</v>
      </c>
      <c r="U34" s="2">
        <v>94.81</v>
      </c>
    </row>
    <row r="35" spans="1:21" x14ac:dyDescent="0.3">
      <c r="A35" s="3">
        <v>10</v>
      </c>
      <c r="B35" s="3">
        <v>95.248000000000005</v>
      </c>
      <c r="D35" s="3">
        <v>10</v>
      </c>
      <c r="E35" s="3">
        <v>96.521000000000001</v>
      </c>
      <c r="G35" s="3">
        <v>10</v>
      </c>
      <c r="H35" s="3">
        <v>96.039000000000001</v>
      </c>
      <c r="J35" s="3">
        <v>10</v>
      </c>
      <c r="K35" s="3">
        <v>96.376000000000005</v>
      </c>
      <c r="M35" s="3">
        <v>10</v>
      </c>
      <c r="N35" s="3">
        <v>96.54</v>
      </c>
      <c r="P35">
        <v>34</v>
      </c>
      <c r="Q35" s="3">
        <v>95.105999999999995</v>
      </c>
      <c r="R35" s="3">
        <v>96.173000000000002</v>
      </c>
      <c r="S35" s="3">
        <v>96.63</v>
      </c>
      <c r="T35" s="3">
        <v>95.602000000000004</v>
      </c>
      <c r="U35" s="3">
        <v>94.531999999999996</v>
      </c>
    </row>
    <row r="36" spans="1:21" x14ac:dyDescent="0.3">
      <c r="A36" s="2">
        <v>11</v>
      </c>
      <c r="B36" s="2">
        <v>95.694999999999993</v>
      </c>
      <c r="D36" s="2">
        <v>11</v>
      </c>
      <c r="E36" s="2">
        <v>96.417000000000002</v>
      </c>
      <c r="G36" s="2">
        <v>11</v>
      </c>
      <c r="H36" s="2">
        <v>96.602000000000004</v>
      </c>
      <c r="J36" s="2">
        <v>11</v>
      </c>
      <c r="K36" s="2">
        <v>96.236999999999995</v>
      </c>
      <c r="M36" s="2">
        <v>11</v>
      </c>
      <c r="N36" s="2">
        <v>96.876000000000005</v>
      </c>
      <c r="P36">
        <v>35</v>
      </c>
      <c r="Q36" s="2">
        <v>95.087000000000003</v>
      </c>
      <c r="R36" s="2">
        <v>96.236000000000004</v>
      </c>
      <c r="S36" s="2">
        <v>96.536000000000001</v>
      </c>
      <c r="T36" s="2">
        <v>95.77</v>
      </c>
      <c r="U36" s="2">
        <v>94.873000000000005</v>
      </c>
    </row>
    <row r="37" spans="1:21" x14ac:dyDescent="0.3">
      <c r="A37" s="3">
        <v>12</v>
      </c>
      <c r="B37" s="3">
        <v>95.494</v>
      </c>
      <c r="D37" s="3">
        <v>12</v>
      </c>
      <c r="E37" s="3">
        <v>96.173000000000002</v>
      </c>
      <c r="G37" s="3">
        <v>12</v>
      </c>
      <c r="H37" s="3">
        <v>96.593000000000004</v>
      </c>
      <c r="J37" s="3">
        <v>12</v>
      </c>
      <c r="K37" s="3">
        <v>96.302999999999997</v>
      </c>
      <c r="M37" s="3">
        <v>12</v>
      </c>
      <c r="N37" s="3">
        <v>96.853999999999999</v>
      </c>
      <c r="P37">
        <v>36</v>
      </c>
      <c r="Q37" s="3">
        <v>94.846999999999994</v>
      </c>
      <c r="R37" s="3">
        <v>96.427000000000007</v>
      </c>
      <c r="S37" s="3">
        <v>96.704999999999998</v>
      </c>
      <c r="T37" s="3">
        <v>95.834999999999994</v>
      </c>
      <c r="U37" s="3">
        <v>95.108000000000004</v>
      </c>
    </row>
    <row r="38" spans="1:21" x14ac:dyDescent="0.3">
      <c r="A38" s="2">
        <v>13</v>
      </c>
      <c r="B38" s="2">
        <v>95.563999999999993</v>
      </c>
      <c r="D38" s="2">
        <v>13</v>
      </c>
      <c r="E38" s="2">
        <v>96.236000000000004</v>
      </c>
      <c r="G38" s="2">
        <v>13</v>
      </c>
      <c r="H38" s="2">
        <v>96.421999999999997</v>
      </c>
      <c r="J38" s="2">
        <v>13</v>
      </c>
      <c r="K38" s="2">
        <v>96.257999999999996</v>
      </c>
      <c r="M38" s="2">
        <v>13</v>
      </c>
      <c r="N38" s="2">
        <v>96.881</v>
      </c>
      <c r="P38">
        <v>37</v>
      </c>
      <c r="Q38" s="2">
        <v>94.861999999999995</v>
      </c>
      <c r="R38" s="2">
        <v>96.388999999999996</v>
      </c>
      <c r="S38" s="2">
        <v>96.772999999999996</v>
      </c>
      <c r="T38" s="2">
        <v>96.001000000000005</v>
      </c>
      <c r="U38" s="2">
        <v>94.858999999999995</v>
      </c>
    </row>
    <row r="39" spans="1:21" x14ac:dyDescent="0.3">
      <c r="A39" s="3">
        <v>14</v>
      </c>
      <c r="B39" s="3">
        <v>95.397999999999996</v>
      </c>
      <c r="D39" s="3">
        <v>14</v>
      </c>
      <c r="E39" s="3">
        <v>96.427000000000007</v>
      </c>
      <c r="G39" s="3">
        <v>14</v>
      </c>
      <c r="H39" s="3">
        <v>96.486999999999995</v>
      </c>
      <c r="J39" s="3">
        <v>14</v>
      </c>
      <c r="K39" s="3">
        <v>96.403999999999996</v>
      </c>
      <c r="M39" s="3">
        <v>14</v>
      </c>
      <c r="N39" s="3">
        <v>96.596999999999994</v>
      </c>
      <c r="P39">
        <v>38</v>
      </c>
      <c r="Q39" s="3">
        <v>95.391000000000005</v>
      </c>
      <c r="R39" s="3">
        <v>96.415000000000006</v>
      </c>
      <c r="S39" s="3">
        <v>96.682000000000002</v>
      </c>
      <c r="T39" s="3">
        <v>117.303</v>
      </c>
      <c r="U39" s="3">
        <v>95.384</v>
      </c>
    </row>
    <row r="40" spans="1:21" x14ac:dyDescent="0.3">
      <c r="A40" s="2">
        <v>15</v>
      </c>
      <c r="B40" s="2">
        <v>95.33</v>
      </c>
      <c r="D40" s="2">
        <v>15</v>
      </c>
      <c r="E40" s="2">
        <v>96.388999999999996</v>
      </c>
      <c r="G40" s="2">
        <v>15</v>
      </c>
      <c r="H40" s="2">
        <v>96.686999999999998</v>
      </c>
      <c r="J40" s="2">
        <v>15</v>
      </c>
      <c r="K40" s="2">
        <v>96.349000000000004</v>
      </c>
      <c r="M40" s="2">
        <v>15</v>
      </c>
      <c r="N40" s="2">
        <v>96.734999999999999</v>
      </c>
      <c r="P40">
        <v>39</v>
      </c>
      <c r="Q40" s="2">
        <v>95.272999999999996</v>
      </c>
      <c r="R40" s="2">
        <v>96.626999999999995</v>
      </c>
      <c r="S40" s="2">
        <v>97.043000000000006</v>
      </c>
      <c r="T40" s="2">
        <v>96.253</v>
      </c>
      <c r="U40" s="2">
        <v>95.35</v>
      </c>
    </row>
    <row r="41" spans="1:21" x14ac:dyDescent="0.3">
      <c r="A41" s="3">
        <v>16</v>
      </c>
      <c r="B41" s="3">
        <v>95.837000000000003</v>
      </c>
      <c r="D41" s="3">
        <v>16</v>
      </c>
      <c r="E41" s="3">
        <v>96.415000000000006</v>
      </c>
      <c r="G41" s="3">
        <v>16</v>
      </c>
      <c r="H41" s="3">
        <v>96.753</v>
      </c>
      <c r="J41" s="3">
        <v>16</v>
      </c>
      <c r="K41" s="3">
        <v>96.768000000000001</v>
      </c>
      <c r="M41" s="3">
        <v>16</v>
      </c>
      <c r="N41" s="3">
        <v>97.195999999999998</v>
      </c>
      <c r="P41">
        <v>40</v>
      </c>
      <c r="Q41" s="3">
        <v>116.181</v>
      </c>
      <c r="R41" s="3">
        <v>96.361999999999995</v>
      </c>
      <c r="S41" s="3">
        <v>96.513999999999996</v>
      </c>
      <c r="T41" s="3">
        <v>95.894000000000005</v>
      </c>
      <c r="U41" s="3">
        <v>115.202</v>
      </c>
    </row>
    <row r="42" spans="1:21" x14ac:dyDescent="0.3">
      <c r="A42" s="2">
        <v>17</v>
      </c>
      <c r="B42" s="2">
        <v>95.385999999999996</v>
      </c>
      <c r="D42" s="2">
        <v>17</v>
      </c>
      <c r="E42" s="2">
        <v>96.626999999999995</v>
      </c>
      <c r="G42" s="2">
        <v>17</v>
      </c>
      <c r="H42" s="2">
        <v>96.632000000000005</v>
      </c>
      <c r="J42" s="2">
        <v>17</v>
      </c>
      <c r="K42" s="2">
        <v>96.492999999999995</v>
      </c>
      <c r="M42" s="2">
        <v>17</v>
      </c>
      <c r="N42" s="2">
        <v>97.093999999999994</v>
      </c>
      <c r="P42">
        <v>41</v>
      </c>
      <c r="Q42" s="2">
        <v>94.933999999999997</v>
      </c>
      <c r="R42" s="2">
        <v>96.450999999999993</v>
      </c>
      <c r="S42" s="2">
        <v>96.712000000000003</v>
      </c>
      <c r="T42" s="2">
        <v>96.445999999999998</v>
      </c>
      <c r="U42" s="2">
        <v>96.563999999999993</v>
      </c>
    </row>
    <row r="43" spans="1:21" x14ac:dyDescent="0.3">
      <c r="D43" s="3">
        <v>18</v>
      </c>
      <c r="E43" s="3">
        <v>96.361999999999995</v>
      </c>
      <c r="G43" s="3">
        <v>18</v>
      </c>
      <c r="H43" s="3">
        <v>96.63</v>
      </c>
      <c r="J43" s="3">
        <v>18</v>
      </c>
      <c r="K43" s="3">
        <v>96.608000000000004</v>
      </c>
      <c r="P43">
        <v>42</v>
      </c>
      <c r="Q43" s="3">
        <v>94.921000000000006</v>
      </c>
      <c r="R43" s="3">
        <v>96.346999999999994</v>
      </c>
      <c r="S43" s="3">
        <v>115.78400000000001</v>
      </c>
      <c r="T43" s="3">
        <v>96.244</v>
      </c>
      <c r="U43" s="3">
        <v>96.442999999999998</v>
      </c>
    </row>
    <row r="44" spans="1:21" x14ac:dyDescent="0.3">
      <c r="D44" s="2">
        <v>19</v>
      </c>
      <c r="E44" s="2">
        <v>96.450999999999993</v>
      </c>
      <c r="G44" s="2">
        <v>19</v>
      </c>
      <c r="H44" s="2">
        <v>96.536000000000001</v>
      </c>
      <c r="J44" s="2">
        <v>19</v>
      </c>
      <c r="K44" s="2">
        <v>96.501000000000005</v>
      </c>
      <c r="P44">
        <v>43</v>
      </c>
      <c r="Q44" s="2">
        <v>95.492999999999995</v>
      </c>
      <c r="R44" s="2">
        <v>96.653999999999996</v>
      </c>
      <c r="S44" s="2">
        <v>95.200999999999993</v>
      </c>
      <c r="T44" s="2">
        <v>96.445999999999998</v>
      </c>
      <c r="U44" s="2">
        <v>96.492999999999995</v>
      </c>
    </row>
    <row r="45" spans="1:21" x14ac:dyDescent="0.3">
      <c r="D45" s="3">
        <v>20</v>
      </c>
      <c r="E45" s="3">
        <v>96.346999999999994</v>
      </c>
      <c r="G45" s="3">
        <v>20</v>
      </c>
      <c r="H45" s="3">
        <v>96.704999999999998</v>
      </c>
      <c r="P45">
        <v>44</v>
      </c>
      <c r="Q45" s="3">
        <v>95.5</v>
      </c>
      <c r="R45" s="3">
        <v>115.31100000000001</v>
      </c>
      <c r="S45" s="3">
        <v>95.046999999999997</v>
      </c>
      <c r="T45" s="3">
        <v>96.450999999999993</v>
      </c>
      <c r="U45" s="3">
        <v>96.768000000000001</v>
      </c>
    </row>
    <row r="46" spans="1:21" x14ac:dyDescent="0.3">
      <c r="D46" s="2">
        <v>21</v>
      </c>
      <c r="E46" s="2">
        <v>96.653999999999996</v>
      </c>
      <c r="G46" s="2">
        <v>21</v>
      </c>
      <c r="H46" s="2">
        <v>96.772999999999996</v>
      </c>
      <c r="P46">
        <v>45</v>
      </c>
      <c r="Q46" s="2">
        <v>95.436999999999998</v>
      </c>
      <c r="R46" s="2">
        <v>94.662000000000006</v>
      </c>
      <c r="S46" s="2">
        <v>95.238</v>
      </c>
      <c r="T46" s="2">
        <v>96.295000000000002</v>
      </c>
      <c r="U46" s="2">
        <v>96.488</v>
      </c>
    </row>
    <row r="47" spans="1:21" x14ac:dyDescent="0.3">
      <c r="G47" s="3">
        <v>22</v>
      </c>
      <c r="H47" s="3">
        <v>96.682000000000002</v>
      </c>
      <c r="P47">
        <v>46</v>
      </c>
      <c r="Q47" s="3">
        <v>95.284999999999997</v>
      </c>
      <c r="R47" s="3">
        <v>95.019000000000005</v>
      </c>
      <c r="S47" s="3">
        <v>94.89</v>
      </c>
      <c r="T47" s="3">
        <v>96.197999999999993</v>
      </c>
      <c r="U47" s="3">
        <v>96.7</v>
      </c>
    </row>
    <row r="48" spans="1:21" x14ac:dyDescent="0.3">
      <c r="G48" s="2">
        <v>23</v>
      </c>
      <c r="H48" s="2">
        <v>97.043000000000006</v>
      </c>
      <c r="P48">
        <v>47</v>
      </c>
      <c r="Q48" s="2">
        <v>95.614999999999995</v>
      </c>
      <c r="R48" s="2">
        <v>94.844999999999999</v>
      </c>
      <c r="S48" s="2">
        <v>95.26</v>
      </c>
      <c r="T48" s="2">
        <v>96.397999999999996</v>
      </c>
      <c r="U48" s="2">
        <v>96.531999999999996</v>
      </c>
    </row>
    <row r="49" spans="1:21" x14ac:dyDescent="0.3">
      <c r="G49" s="3">
        <v>24</v>
      </c>
      <c r="H49" s="3">
        <v>96.513999999999996</v>
      </c>
      <c r="P49">
        <v>48</v>
      </c>
      <c r="Q49" s="3">
        <v>95.366</v>
      </c>
      <c r="R49" s="3">
        <v>95.072999999999993</v>
      </c>
      <c r="S49" s="3">
        <v>95.177000000000007</v>
      </c>
      <c r="T49" s="3">
        <v>96.376000000000005</v>
      </c>
      <c r="U49" s="3">
        <v>96.866</v>
      </c>
    </row>
    <row r="50" spans="1:21" x14ac:dyDescent="0.3">
      <c r="G50" s="2">
        <v>25</v>
      </c>
      <c r="H50" s="2">
        <v>96.712000000000003</v>
      </c>
      <c r="P50">
        <v>49</v>
      </c>
      <c r="Q50" s="2">
        <v>95.221999999999994</v>
      </c>
      <c r="R50" s="2">
        <v>95.284999999999997</v>
      </c>
      <c r="S50" s="2">
        <v>95.123000000000005</v>
      </c>
      <c r="T50" s="2">
        <v>96.236999999999995</v>
      </c>
      <c r="U50" s="2">
        <v>96.629000000000005</v>
      </c>
    </row>
    <row r="51" spans="1:21" x14ac:dyDescent="0.3">
      <c r="P51">
        <v>50</v>
      </c>
      <c r="Q51" s="3">
        <v>95.248000000000005</v>
      </c>
      <c r="R51" s="3">
        <v>95.179000000000002</v>
      </c>
      <c r="S51" s="3">
        <v>95.113</v>
      </c>
      <c r="T51" s="3">
        <v>96.302999999999997</v>
      </c>
      <c r="U51" s="3">
        <v>96.54</v>
      </c>
    </row>
    <row r="52" spans="1:21" x14ac:dyDescent="0.3">
      <c r="A52" t="s">
        <v>56</v>
      </c>
      <c r="P52">
        <v>51</v>
      </c>
      <c r="Q52" s="2">
        <v>95.694999999999993</v>
      </c>
      <c r="R52" s="2">
        <v>95.441000000000003</v>
      </c>
      <c r="S52" s="2">
        <v>95.331000000000003</v>
      </c>
      <c r="T52" s="2">
        <v>96.257999999999996</v>
      </c>
      <c r="U52" s="2">
        <v>96.876000000000005</v>
      </c>
    </row>
    <row r="53" spans="1:21" x14ac:dyDescent="0.3">
      <c r="A53" t="s">
        <v>14</v>
      </c>
      <c r="D53" t="s">
        <v>19</v>
      </c>
      <c r="G53" t="s">
        <v>23</v>
      </c>
      <c r="J53" t="s">
        <v>26</v>
      </c>
      <c r="M53" t="s">
        <v>29</v>
      </c>
      <c r="P53">
        <v>52</v>
      </c>
      <c r="Q53" s="3">
        <v>95.494</v>
      </c>
      <c r="R53" s="3">
        <v>95.448999999999998</v>
      </c>
      <c r="S53" s="3">
        <v>95.409000000000006</v>
      </c>
      <c r="T53" s="3">
        <v>96.403999999999996</v>
      </c>
      <c r="U53" s="3">
        <v>96.853999999999999</v>
      </c>
    </row>
    <row r="54" spans="1:21" x14ac:dyDescent="0.3">
      <c r="A54" s="4" t="s">
        <v>6</v>
      </c>
      <c r="B54" s="4" t="s">
        <v>7</v>
      </c>
      <c r="C54">
        <f>SLOPE(B55:B75, A55:A75)</f>
        <v>6.1815584415584136E-2</v>
      </c>
      <c r="D54" s="4" t="s">
        <v>6</v>
      </c>
      <c r="E54" s="4" t="s">
        <v>7</v>
      </c>
      <c r="F54">
        <f>SLOPE(E55:E88, D55:D88)</f>
        <v>6.3553462543553887E-2</v>
      </c>
      <c r="G54" s="4" t="s">
        <v>6</v>
      </c>
      <c r="H54" s="4" t="s">
        <v>7</v>
      </c>
      <c r="I54">
        <f>SLOPE(H55:H69, G55:G69)</f>
        <v>5.2389285714285957E-2</v>
      </c>
      <c r="J54" s="4" t="s">
        <v>6</v>
      </c>
      <c r="K54" s="4" t="s">
        <v>7</v>
      </c>
      <c r="L54">
        <f>SLOPE(K55:K71, J55:J71)</f>
        <v>5.6340686274509791E-2</v>
      </c>
      <c r="M54" s="4" t="s">
        <v>6</v>
      </c>
      <c r="N54" s="4" t="s">
        <v>7</v>
      </c>
      <c r="O54">
        <f>SLOPE(N55:N78, M55:M78)</f>
        <v>1.6074347826086872E-2</v>
      </c>
      <c r="P54">
        <v>53</v>
      </c>
      <c r="Q54" s="2">
        <v>95.563999999999993</v>
      </c>
      <c r="R54" s="2">
        <v>95.034000000000006</v>
      </c>
      <c r="S54" s="2">
        <v>95.204999999999998</v>
      </c>
      <c r="T54" s="2">
        <v>96.349000000000004</v>
      </c>
      <c r="U54" s="2">
        <v>96.881</v>
      </c>
    </row>
    <row r="55" spans="1:21" x14ac:dyDescent="0.3">
      <c r="A55" s="2">
        <v>1</v>
      </c>
      <c r="B55" s="2">
        <v>93.826999999999998</v>
      </c>
      <c r="D55" s="2">
        <v>1</v>
      </c>
      <c r="E55" s="2">
        <v>99.305000000000007</v>
      </c>
      <c r="G55" s="2">
        <v>1</v>
      </c>
      <c r="H55" s="2">
        <v>95.200999999999993</v>
      </c>
      <c r="J55" s="2">
        <v>1</v>
      </c>
      <c r="K55" s="2">
        <v>94.878</v>
      </c>
      <c r="M55" s="2">
        <v>1</v>
      </c>
      <c r="N55" s="2">
        <v>99.748999999999995</v>
      </c>
      <c r="P55">
        <v>54</v>
      </c>
      <c r="Q55" s="3">
        <v>95.397999999999996</v>
      </c>
      <c r="R55" s="3">
        <v>95.162000000000006</v>
      </c>
      <c r="S55" s="3">
        <v>95.319000000000003</v>
      </c>
      <c r="T55" s="3">
        <v>96.768000000000001</v>
      </c>
      <c r="U55" s="3">
        <v>96.596999999999994</v>
      </c>
    </row>
    <row r="56" spans="1:21" x14ac:dyDescent="0.3">
      <c r="A56" s="3">
        <v>2</v>
      </c>
      <c r="B56" s="3">
        <v>94.284000000000006</v>
      </c>
      <c r="D56" s="3">
        <v>2</v>
      </c>
      <c r="E56" s="3">
        <v>94.840999999999994</v>
      </c>
      <c r="G56" s="3">
        <v>2</v>
      </c>
      <c r="H56" s="3">
        <v>95.046999999999997</v>
      </c>
      <c r="J56" s="3">
        <v>2</v>
      </c>
      <c r="K56" s="3">
        <v>95.146000000000001</v>
      </c>
      <c r="M56" s="3">
        <v>2</v>
      </c>
      <c r="N56" s="3">
        <v>95.34</v>
      </c>
      <c r="P56">
        <v>55</v>
      </c>
      <c r="Q56" s="2">
        <v>95.33</v>
      </c>
      <c r="R56" s="2">
        <v>95.242999999999995</v>
      </c>
      <c r="S56" s="2">
        <v>95.814999999999998</v>
      </c>
      <c r="T56" s="2">
        <v>96.492999999999995</v>
      </c>
      <c r="U56" s="2">
        <v>96.734999999999999</v>
      </c>
    </row>
    <row r="57" spans="1:21" x14ac:dyDescent="0.3">
      <c r="A57" s="2">
        <v>3</v>
      </c>
      <c r="B57" s="2">
        <v>93.98</v>
      </c>
      <c r="D57" s="2">
        <v>3</v>
      </c>
      <c r="E57" s="2">
        <v>94.82</v>
      </c>
      <c r="G57" s="2">
        <v>3</v>
      </c>
      <c r="H57" s="2">
        <v>95.238</v>
      </c>
      <c r="J57" s="2">
        <v>3</v>
      </c>
      <c r="K57" s="2">
        <v>95.222999999999999</v>
      </c>
      <c r="M57" s="2">
        <v>3</v>
      </c>
      <c r="N57" s="2">
        <v>95.399000000000001</v>
      </c>
      <c r="P57">
        <v>56</v>
      </c>
      <c r="Q57" s="3">
        <v>95.837000000000003</v>
      </c>
      <c r="R57" s="3">
        <v>95.16</v>
      </c>
      <c r="S57" s="3">
        <v>95.86</v>
      </c>
      <c r="T57" s="3">
        <v>96.608000000000004</v>
      </c>
      <c r="U57" s="3">
        <v>97.195999999999998</v>
      </c>
    </row>
    <row r="58" spans="1:21" x14ac:dyDescent="0.3">
      <c r="A58" s="3">
        <v>4</v>
      </c>
      <c r="B58" s="3">
        <v>93.962000000000003</v>
      </c>
      <c r="D58" s="3">
        <v>4</v>
      </c>
      <c r="E58" s="3">
        <v>95.076999999999998</v>
      </c>
      <c r="G58" s="3">
        <v>4</v>
      </c>
      <c r="H58" s="3">
        <v>94.89</v>
      </c>
      <c r="J58" s="3">
        <v>4</v>
      </c>
      <c r="K58" s="3">
        <v>95.212999999999994</v>
      </c>
      <c r="M58" s="3">
        <v>4</v>
      </c>
      <c r="N58" s="3">
        <v>95.221999999999994</v>
      </c>
      <c r="P58">
        <v>57</v>
      </c>
      <c r="Q58" s="2">
        <v>95.385999999999996</v>
      </c>
      <c r="R58" s="2">
        <v>95.721999999999994</v>
      </c>
      <c r="S58" s="2">
        <v>95.87</v>
      </c>
      <c r="T58" s="2">
        <v>96.501000000000005</v>
      </c>
      <c r="U58" s="2">
        <v>97.093999999999994</v>
      </c>
    </row>
    <row r="59" spans="1:21" x14ac:dyDescent="0.3">
      <c r="A59" s="2">
        <v>5</v>
      </c>
      <c r="B59" s="2">
        <v>94.085999999999999</v>
      </c>
      <c r="D59" s="2">
        <v>5</v>
      </c>
      <c r="E59" s="2">
        <v>95.254999999999995</v>
      </c>
      <c r="G59" s="2">
        <v>5</v>
      </c>
      <c r="H59" s="2">
        <v>95.26</v>
      </c>
      <c r="J59" s="2">
        <v>5</v>
      </c>
      <c r="K59" s="2">
        <v>95.384</v>
      </c>
      <c r="M59" s="2">
        <v>5</v>
      </c>
      <c r="N59" s="2">
        <v>95.623000000000005</v>
      </c>
    </row>
    <row r="60" spans="1:21" x14ac:dyDescent="0.3">
      <c r="A60" s="3">
        <v>6</v>
      </c>
      <c r="B60" s="3">
        <v>94.555000000000007</v>
      </c>
      <c r="D60" s="3">
        <v>6</v>
      </c>
      <c r="E60" s="3">
        <v>95.301000000000002</v>
      </c>
      <c r="G60" s="3">
        <v>6</v>
      </c>
      <c r="H60" s="3">
        <v>95.177000000000007</v>
      </c>
      <c r="J60" s="3">
        <v>6</v>
      </c>
      <c r="K60" s="3">
        <v>95.049000000000007</v>
      </c>
      <c r="M60" s="3">
        <v>6</v>
      </c>
      <c r="N60" s="3">
        <v>95.605000000000004</v>
      </c>
    </row>
    <row r="61" spans="1:21" x14ac:dyDescent="0.3">
      <c r="A61" s="2">
        <v>7</v>
      </c>
      <c r="B61" s="2">
        <v>94.606999999999999</v>
      </c>
      <c r="D61" s="2">
        <v>7</v>
      </c>
      <c r="E61" s="2">
        <v>95.269000000000005</v>
      </c>
      <c r="G61" s="2">
        <v>7</v>
      </c>
      <c r="H61" s="2">
        <v>95.123000000000005</v>
      </c>
      <c r="J61" s="2">
        <v>7</v>
      </c>
      <c r="K61" s="2">
        <v>95.447999999999993</v>
      </c>
      <c r="M61" s="2">
        <v>7</v>
      </c>
      <c r="N61" s="2">
        <v>95.430999999999997</v>
      </c>
    </row>
    <row r="62" spans="1:21" x14ac:dyDescent="0.3">
      <c r="A62" s="3">
        <v>8</v>
      </c>
      <c r="B62" s="3">
        <v>94.331000000000003</v>
      </c>
      <c r="D62" s="3">
        <v>8</v>
      </c>
      <c r="E62" s="3">
        <v>95.513000000000005</v>
      </c>
      <c r="G62" s="3">
        <v>8</v>
      </c>
      <c r="H62" s="3">
        <v>95.113</v>
      </c>
      <c r="J62" s="3">
        <v>8</v>
      </c>
      <c r="K62" s="3">
        <v>95.356999999999999</v>
      </c>
      <c r="M62" s="3">
        <v>8</v>
      </c>
      <c r="N62" s="3">
        <v>95.59</v>
      </c>
    </row>
    <row r="63" spans="1:21" x14ac:dyDescent="0.3">
      <c r="A63" s="2">
        <v>9</v>
      </c>
      <c r="B63" s="2">
        <v>94.45</v>
      </c>
      <c r="D63" s="2">
        <v>9</v>
      </c>
      <c r="E63" s="2">
        <v>95.117999999999995</v>
      </c>
      <c r="G63" s="2">
        <v>9</v>
      </c>
      <c r="H63" s="2">
        <v>95.331000000000003</v>
      </c>
      <c r="J63" s="2">
        <v>9</v>
      </c>
      <c r="K63" s="2">
        <v>95.722999999999999</v>
      </c>
      <c r="M63" s="2">
        <v>9</v>
      </c>
      <c r="N63" s="2">
        <v>96.046000000000006</v>
      </c>
    </row>
    <row r="64" spans="1:21" x14ac:dyDescent="0.3">
      <c r="A64" s="3">
        <v>10</v>
      </c>
      <c r="B64" s="3">
        <v>94.522000000000006</v>
      </c>
      <c r="D64" s="3">
        <v>10</v>
      </c>
      <c r="E64" s="3">
        <v>95.635000000000005</v>
      </c>
      <c r="G64" s="3">
        <v>10</v>
      </c>
      <c r="H64" s="3">
        <v>95.409000000000006</v>
      </c>
      <c r="J64" s="3">
        <v>10</v>
      </c>
      <c r="K64" s="3">
        <v>95.796999999999997</v>
      </c>
      <c r="M64" s="3">
        <v>10</v>
      </c>
      <c r="N64" s="3">
        <v>95.808000000000007</v>
      </c>
    </row>
    <row r="65" spans="1:14" x14ac:dyDescent="0.3">
      <c r="A65" s="2">
        <v>11</v>
      </c>
      <c r="B65" s="2">
        <v>94.305000000000007</v>
      </c>
      <c r="D65" s="2">
        <v>11</v>
      </c>
      <c r="E65" s="2">
        <v>95.34</v>
      </c>
      <c r="G65" s="2">
        <v>11</v>
      </c>
      <c r="H65" s="2">
        <v>95.204999999999998</v>
      </c>
      <c r="J65" s="2">
        <v>11</v>
      </c>
      <c r="K65" s="2">
        <v>95.882999999999996</v>
      </c>
      <c r="M65" s="2">
        <v>11</v>
      </c>
      <c r="N65" s="2">
        <v>95.625</v>
      </c>
    </row>
    <row r="66" spans="1:14" x14ac:dyDescent="0.3">
      <c r="A66" s="3">
        <v>12</v>
      </c>
      <c r="B66" s="3">
        <v>94.694000000000003</v>
      </c>
      <c r="D66" s="3">
        <v>12</v>
      </c>
      <c r="E66" s="3">
        <v>103.759</v>
      </c>
      <c r="G66" s="3">
        <v>12</v>
      </c>
      <c r="H66" s="3">
        <v>95.319000000000003</v>
      </c>
      <c r="J66" s="3">
        <v>12</v>
      </c>
      <c r="K66" s="3">
        <v>95.566000000000003</v>
      </c>
      <c r="M66" s="3">
        <v>12</v>
      </c>
      <c r="N66" s="3">
        <v>104.639</v>
      </c>
    </row>
    <row r="67" spans="1:14" x14ac:dyDescent="0.3">
      <c r="A67" s="2">
        <v>13</v>
      </c>
      <c r="B67" s="2">
        <v>94.522000000000006</v>
      </c>
      <c r="D67" s="2">
        <v>13</v>
      </c>
      <c r="E67" s="2">
        <v>103.895</v>
      </c>
      <c r="G67" s="2">
        <v>13</v>
      </c>
      <c r="H67" s="2">
        <v>95.814999999999998</v>
      </c>
      <c r="J67" s="2">
        <v>13</v>
      </c>
      <c r="K67" s="2">
        <v>95.656999999999996</v>
      </c>
      <c r="M67" s="2">
        <v>13</v>
      </c>
      <c r="N67" s="2">
        <v>104.741</v>
      </c>
    </row>
    <row r="68" spans="1:14" x14ac:dyDescent="0.3">
      <c r="A68" s="3">
        <v>14</v>
      </c>
      <c r="B68" s="3">
        <v>94.492000000000004</v>
      </c>
      <c r="D68" s="3">
        <v>14</v>
      </c>
      <c r="E68" s="3">
        <v>95.664000000000001</v>
      </c>
      <c r="G68" s="3">
        <v>14</v>
      </c>
      <c r="H68" s="3">
        <v>95.86</v>
      </c>
      <c r="J68" s="3">
        <v>14</v>
      </c>
      <c r="K68" s="3">
        <v>95.602000000000004</v>
      </c>
      <c r="M68" s="3">
        <v>14</v>
      </c>
      <c r="N68" s="3">
        <v>96.063999999999993</v>
      </c>
    </row>
    <row r="69" spans="1:14" x14ac:dyDescent="0.3">
      <c r="A69" s="2">
        <v>15</v>
      </c>
      <c r="B69" s="2">
        <v>94.697999999999993</v>
      </c>
      <c r="D69" s="2">
        <v>15</v>
      </c>
      <c r="E69" s="2">
        <v>95.468000000000004</v>
      </c>
      <c r="G69" s="2">
        <v>15</v>
      </c>
      <c r="H69" s="2">
        <v>95.87</v>
      </c>
      <c r="J69" s="2">
        <v>15</v>
      </c>
      <c r="K69" s="2">
        <v>95.77</v>
      </c>
      <c r="M69" s="2">
        <v>15</v>
      </c>
      <c r="N69" s="2">
        <v>96.221999999999994</v>
      </c>
    </row>
    <row r="70" spans="1:14" x14ac:dyDescent="0.3">
      <c r="A70" s="3">
        <v>16</v>
      </c>
      <c r="B70" s="3">
        <v>95.105999999999995</v>
      </c>
      <c r="D70" s="3">
        <v>16</v>
      </c>
      <c r="E70" s="3">
        <v>95.924000000000007</v>
      </c>
      <c r="J70" s="3">
        <v>16</v>
      </c>
      <c r="K70" s="3">
        <v>95.834999999999994</v>
      </c>
      <c r="M70" s="3">
        <v>16</v>
      </c>
      <c r="N70" s="3">
        <v>96.298000000000002</v>
      </c>
    </row>
    <row r="71" spans="1:14" x14ac:dyDescent="0.3">
      <c r="A71" s="2">
        <v>17</v>
      </c>
      <c r="B71" s="2">
        <v>95.087000000000003</v>
      </c>
      <c r="D71" s="2">
        <v>17</v>
      </c>
      <c r="E71" s="2">
        <v>95.938000000000002</v>
      </c>
      <c r="J71" s="2">
        <v>17</v>
      </c>
      <c r="K71" s="2">
        <v>96.001000000000005</v>
      </c>
      <c r="M71" s="2">
        <v>17</v>
      </c>
      <c r="N71" s="2">
        <v>96.528000000000006</v>
      </c>
    </row>
    <row r="72" spans="1:14" x14ac:dyDescent="0.3">
      <c r="A72" s="3">
        <v>18</v>
      </c>
      <c r="B72" s="3">
        <v>94.846999999999994</v>
      </c>
      <c r="D72" s="3">
        <v>18</v>
      </c>
      <c r="E72" s="3">
        <v>95.5</v>
      </c>
      <c r="M72" s="3">
        <v>18</v>
      </c>
      <c r="N72" s="3">
        <v>96.215999999999994</v>
      </c>
    </row>
    <row r="73" spans="1:14" x14ac:dyDescent="0.3">
      <c r="A73" s="2">
        <v>19</v>
      </c>
      <c r="B73" s="2">
        <v>94.861999999999995</v>
      </c>
      <c r="D73" s="2">
        <v>19</v>
      </c>
      <c r="E73" s="2">
        <v>95.650999999999996</v>
      </c>
      <c r="M73" s="2">
        <v>19</v>
      </c>
      <c r="N73" s="2">
        <v>96.584999999999994</v>
      </c>
    </row>
    <row r="74" spans="1:14" x14ac:dyDescent="0.3">
      <c r="A74" s="3">
        <v>20</v>
      </c>
      <c r="B74" s="3">
        <v>95.391000000000005</v>
      </c>
      <c r="D74" s="3">
        <v>20</v>
      </c>
      <c r="E74" s="3">
        <v>96.025999999999996</v>
      </c>
      <c r="M74" s="3">
        <v>20</v>
      </c>
      <c r="N74" s="3">
        <v>96.417000000000002</v>
      </c>
    </row>
    <row r="75" spans="1:14" x14ac:dyDescent="0.3">
      <c r="A75" s="2">
        <v>21</v>
      </c>
      <c r="B75" s="2">
        <v>95.272999999999996</v>
      </c>
      <c r="D75" s="2">
        <v>21</v>
      </c>
      <c r="E75" s="2">
        <v>95.816999999999993</v>
      </c>
      <c r="M75" s="2">
        <v>21</v>
      </c>
      <c r="N75" s="2">
        <v>96.55</v>
      </c>
    </row>
    <row r="76" spans="1:14" x14ac:dyDescent="0.3">
      <c r="D76" s="3">
        <v>1</v>
      </c>
      <c r="E76" s="3">
        <v>94.662000000000006</v>
      </c>
      <c r="M76" s="3">
        <v>22</v>
      </c>
      <c r="N76" s="3">
        <v>96.239000000000004</v>
      </c>
    </row>
    <row r="77" spans="1:14" x14ac:dyDescent="0.3">
      <c r="D77" s="2">
        <v>2</v>
      </c>
      <c r="E77" s="2">
        <v>95.019000000000005</v>
      </c>
      <c r="M77" s="2">
        <v>23</v>
      </c>
      <c r="N77" s="2">
        <v>96.578000000000003</v>
      </c>
    </row>
    <row r="78" spans="1:14" x14ac:dyDescent="0.3">
      <c r="D78" s="3">
        <v>3</v>
      </c>
      <c r="E78" s="3">
        <v>94.844999999999999</v>
      </c>
      <c r="M78" s="3">
        <v>24</v>
      </c>
      <c r="N78" s="3">
        <v>96.507999999999996</v>
      </c>
    </row>
    <row r="79" spans="1:14" x14ac:dyDescent="0.3">
      <c r="D79" s="2">
        <v>4</v>
      </c>
      <c r="E79" s="2">
        <v>95.072999999999993</v>
      </c>
    </row>
    <row r="80" spans="1:14" x14ac:dyDescent="0.3">
      <c r="D80" s="3">
        <v>5</v>
      </c>
      <c r="E80" s="3">
        <v>95.284999999999997</v>
      </c>
    </row>
    <row r="81" spans="4:5" x14ac:dyDescent="0.3">
      <c r="D81" s="2">
        <v>6</v>
      </c>
      <c r="E81" s="2">
        <v>95.179000000000002</v>
      </c>
    </row>
    <row r="82" spans="4:5" x14ac:dyDescent="0.3">
      <c r="D82" s="3">
        <v>7</v>
      </c>
      <c r="E82" s="3">
        <v>95.441000000000003</v>
      </c>
    </row>
    <row r="83" spans="4:5" x14ac:dyDescent="0.3">
      <c r="D83" s="2">
        <v>8</v>
      </c>
      <c r="E83" s="2">
        <v>95.448999999999998</v>
      </c>
    </row>
    <row r="84" spans="4:5" x14ac:dyDescent="0.3">
      <c r="D84" s="3">
        <v>9</v>
      </c>
      <c r="E84" s="3">
        <v>95.034000000000006</v>
      </c>
    </row>
    <row r="85" spans="4:5" x14ac:dyDescent="0.3">
      <c r="D85" s="2">
        <v>10</v>
      </c>
      <c r="E85" s="2">
        <v>95.162000000000006</v>
      </c>
    </row>
    <row r="86" spans="4:5" x14ac:dyDescent="0.3">
      <c r="D86" s="3">
        <v>11</v>
      </c>
      <c r="E86" s="3">
        <v>95.242999999999995</v>
      </c>
    </row>
    <row r="87" spans="4:5" x14ac:dyDescent="0.3">
      <c r="D87" s="2">
        <v>12</v>
      </c>
      <c r="E87" s="2">
        <v>95.16</v>
      </c>
    </row>
    <row r="88" spans="4:5" x14ac:dyDescent="0.3">
      <c r="D88" s="3">
        <v>13</v>
      </c>
      <c r="E88" s="3">
        <v>95.721999999999994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5E08F7-F2E2-401F-AE81-B5F62C5934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RaceData</vt:lpstr>
      <vt:lpstr>Analysis</vt:lpstr>
      <vt:lpstr>Dashboard</vt:lpstr>
      <vt:lpstr>Helper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Sufyan Haruna</dc:creator>
  <cp:lastModifiedBy>Muhammed Sufyan Haruna</cp:lastModifiedBy>
  <cp:lastPrinted>2026-05-08T08:45:37Z</cp:lastPrinted>
  <dcterms:created xsi:type="dcterms:W3CDTF">2026-04-30T09:40:26Z</dcterms:created>
  <dcterms:modified xsi:type="dcterms:W3CDTF">2026-05-08T09:31:54Z</dcterms:modified>
</cp:coreProperties>
</file>